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C ĐI LÀM\"/>
    </mc:Choice>
  </mc:AlternateContent>
  <xr:revisionPtr revIDLastSave="0" documentId="13_ncr:1_{386C5621-EDE8-4F65-80EC-E8EC2AB6C938}" xr6:coauthVersionLast="47" xr6:coauthVersionMax="47" xr10:uidLastSave="{00000000-0000-0000-0000-000000000000}"/>
  <bookViews>
    <workbookView xWindow="-120" yWindow="-120" windowWidth="29040" windowHeight="15840" xr2:uid="{3A3BAAA0-2711-4661-B6FC-9654C63D9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C7" i="1" l="1"/>
  <c r="MB7" i="1"/>
  <c r="LS7" i="1"/>
  <c r="LR7" i="1"/>
  <c r="MC8" i="1"/>
  <c r="MB8" i="1"/>
  <c r="LS8" i="1"/>
  <c r="LR8" i="1"/>
  <c r="MA8" i="1"/>
  <c r="MA7" i="1" s="1"/>
  <c r="LZ8" i="1"/>
  <c r="LZ7" i="1" s="1"/>
  <c r="LQ8" i="1"/>
  <c r="LQ7" i="1" s="1"/>
  <c r="LP8" i="1"/>
  <c r="LP7" i="1" s="1"/>
  <c r="LK7" i="1"/>
  <c r="LY7" i="1"/>
  <c r="LX7" i="1"/>
  <c r="LW7" i="1"/>
  <c r="LV7" i="1"/>
  <c r="LU7" i="1"/>
  <c r="LT7" i="1"/>
  <c r="LO7" i="1"/>
  <c r="LN7" i="1"/>
  <c r="LM7" i="1"/>
  <c r="LL7" i="1"/>
  <c r="LJ7" i="1"/>
  <c r="KT8" i="1" l="1"/>
  <c r="KQ8" i="1"/>
  <c r="LI8" i="1" l="1"/>
  <c r="LH8" i="1"/>
  <c r="LG8" i="1"/>
  <c r="LG7" i="1" s="1"/>
  <c r="LF8" i="1"/>
  <c r="LF7" i="1" s="1"/>
  <c r="KX8" i="1"/>
  <c r="KV8" i="1"/>
  <c r="KV7" i="1" s="1"/>
  <c r="KY8" i="1"/>
  <c r="KQ7" i="1"/>
  <c r="LE7" i="1"/>
  <c r="LD7" i="1"/>
  <c r="LC7" i="1"/>
  <c r="LB7" i="1"/>
  <c r="LA7" i="1"/>
  <c r="KZ7" i="1"/>
  <c r="KU7" i="1"/>
  <c r="KT7" i="1"/>
  <c r="KS7" i="1"/>
  <c r="KR7" i="1"/>
  <c r="KP7" i="1"/>
  <c r="LH7" i="1" l="1"/>
  <c r="KX7" i="1"/>
  <c r="LI7" i="1"/>
  <c r="KY7" i="1"/>
  <c r="KW8" i="1"/>
  <c r="KW7" i="1" s="1"/>
  <c r="KM8" i="1" l="1"/>
  <c r="KL8" i="1"/>
  <c r="KK8" i="1"/>
  <c r="KK7" i="1" s="1"/>
  <c r="KJ8" i="1"/>
  <c r="KJ7" i="1" s="1"/>
  <c r="KB8" i="1"/>
  <c r="JZ8" i="1"/>
  <c r="JZ7" i="1" s="1"/>
  <c r="KC8" i="1"/>
  <c r="KI7" i="1"/>
  <c r="KH7" i="1"/>
  <c r="KG7" i="1"/>
  <c r="KF7" i="1"/>
  <c r="KE7" i="1"/>
  <c r="KD7" i="1"/>
  <c r="JY7" i="1"/>
  <c r="JX7" i="1"/>
  <c r="JW7" i="1"/>
  <c r="JV7" i="1"/>
  <c r="JU7" i="1"/>
  <c r="JT7" i="1"/>
  <c r="JA8" i="1"/>
  <c r="KL7" i="1" l="1"/>
  <c r="KB7" i="1"/>
  <c r="KM7" i="1"/>
  <c r="KC7" i="1"/>
  <c r="KA8" i="1"/>
  <c r="KA7" i="1" s="1"/>
  <c r="JS8" i="1"/>
  <c r="JR8" i="1"/>
  <c r="JQ8" i="1"/>
  <c r="JQ7" i="1" s="1"/>
  <c r="JP8" i="1"/>
  <c r="JP7" i="1" s="1"/>
  <c r="JI8" i="1"/>
  <c r="JH8" i="1"/>
  <c r="JG8" i="1"/>
  <c r="JG7" i="1" s="1"/>
  <c r="JF8" i="1"/>
  <c r="JF7" i="1" s="1"/>
  <c r="JO7" i="1"/>
  <c r="JN7" i="1"/>
  <c r="JM7" i="1"/>
  <c r="JL7" i="1"/>
  <c r="JK7" i="1"/>
  <c r="JJ7" i="1"/>
  <c r="JE7" i="1"/>
  <c r="JD7" i="1"/>
  <c r="JC7" i="1"/>
  <c r="JB7" i="1"/>
  <c r="JA7" i="1"/>
  <c r="IZ7" i="1"/>
  <c r="IY8" i="1"/>
  <c r="IX8" i="1"/>
  <c r="IW8" i="1"/>
  <c r="IW7" i="1" s="1"/>
  <c r="IV8" i="1"/>
  <c r="IV7" i="1" s="1"/>
  <c r="IO8" i="1"/>
  <c r="IN8" i="1"/>
  <c r="IM8" i="1"/>
  <c r="IM7" i="1" s="1"/>
  <c r="IL8" i="1"/>
  <c r="IL7" i="1" s="1"/>
  <c r="IU7" i="1"/>
  <c r="IT7" i="1"/>
  <c r="IS7" i="1"/>
  <c r="IR7" i="1"/>
  <c r="IQ7" i="1"/>
  <c r="IP7" i="1"/>
  <c r="IK7" i="1"/>
  <c r="IJ7" i="1"/>
  <c r="II7" i="1"/>
  <c r="IH7" i="1"/>
  <c r="IG7" i="1"/>
  <c r="IF7" i="1"/>
  <c r="IE8" i="1"/>
  <c r="ID8" i="1"/>
  <c r="IC8" i="1"/>
  <c r="IC7" i="1" s="1"/>
  <c r="IB8" i="1"/>
  <c r="IB7" i="1" s="1"/>
  <c r="HT8" i="1"/>
  <c r="HR8" i="1"/>
  <c r="HR7" i="1" s="1"/>
  <c r="HP7" i="1"/>
  <c r="IA7" i="1"/>
  <c r="HZ7" i="1"/>
  <c r="HY7" i="1"/>
  <c r="HX7" i="1"/>
  <c r="HW7" i="1"/>
  <c r="HV7" i="1"/>
  <c r="HQ7" i="1"/>
  <c r="HO7" i="1"/>
  <c r="HN7" i="1"/>
  <c r="HM7" i="1"/>
  <c r="HL7" i="1"/>
  <c r="GV8" i="1"/>
  <c r="GS8" i="1"/>
  <c r="JR7" i="1" l="1"/>
  <c r="IX7" i="1"/>
  <c r="JS7" i="1"/>
  <c r="JI7" i="1"/>
  <c r="JH7" i="1"/>
  <c r="IY7" i="1"/>
  <c r="IN7" i="1"/>
  <c r="IO7" i="1"/>
  <c r="ID7" i="1"/>
  <c r="IE7" i="1"/>
  <c r="HU7" i="1"/>
  <c r="HT7" i="1"/>
  <c r="HS8" i="1"/>
  <c r="HS7" i="1" s="1"/>
  <c r="HU8" i="1"/>
  <c r="HK8" i="1"/>
  <c r="HJ8" i="1"/>
  <c r="HI8" i="1"/>
  <c r="HI7" i="1" s="1"/>
  <c r="HH8" i="1"/>
  <c r="HH7" i="1" s="1"/>
  <c r="GZ8" i="1"/>
  <c r="GX8" i="1"/>
  <c r="GX7" i="1" s="1"/>
  <c r="HA8" i="1"/>
  <c r="GS7" i="1"/>
  <c r="HG7" i="1"/>
  <c r="HF7" i="1"/>
  <c r="HE7" i="1"/>
  <c r="HD7" i="1"/>
  <c r="HC7" i="1"/>
  <c r="HB7" i="1"/>
  <c r="GW7" i="1"/>
  <c r="GV7" i="1"/>
  <c r="GU7" i="1"/>
  <c r="GT7" i="1"/>
  <c r="GR7" i="1"/>
  <c r="GB8" i="1"/>
  <c r="GB7" i="1" s="1"/>
  <c r="FY8" i="1"/>
  <c r="FY7" i="1" s="1"/>
  <c r="GQ8" i="1"/>
  <c r="GP8" i="1"/>
  <c r="GO8" i="1"/>
  <c r="GO7" i="1" s="1"/>
  <c r="GN8" i="1"/>
  <c r="GN7" i="1" s="1"/>
  <c r="GF8" i="1"/>
  <c r="GD8" i="1"/>
  <c r="GD7" i="1" s="1"/>
  <c r="GM7" i="1"/>
  <c r="GL7" i="1"/>
  <c r="GK7" i="1"/>
  <c r="GJ7" i="1"/>
  <c r="GI7" i="1"/>
  <c r="GH7" i="1"/>
  <c r="GC7" i="1"/>
  <c r="GA7" i="1"/>
  <c r="FZ7" i="1"/>
  <c r="FX7" i="1"/>
  <c r="FH8" i="1"/>
  <c r="HK7" i="1" l="1"/>
  <c r="HJ7" i="1"/>
  <c r="GZ7" i="1"/>
  <c r="HA7" i="1"/>
  <c r="GP7" i="1"/>
  <c r="GY8" i="1"/>
  <c r="GY7" i="1" s="1"/>
  <c r="GF7" i="1"/>
  <c r="GQ7" i="1"/>
  <c r="GG7" i="1"/>
  <c r="GE8" i="1"/>
  <c r="GE7" i="1" s="1"/>
  <c r="GG8" i="1"/>
  <c r="FW8" i="1"/>
  <c r="FV8" i="1"/>
  <c r="FU8" i="1"/>
  <c r="FU7" i="1" s="1"/>
  <c r="FT8" i="1"/>
  <c r="FT7" i="1" s="1"/>
  <c r="FL8" i="1"/>
  <c r="FJ8" i="1"/>
  <c r="FJ7" i="1" s="1"/>
  <c r="FH7" i="1"/>
  <c r="FE7" i="1"/>
  <c r="FS7" i="1"/>
  <c r="FR7" i="1"/>
  <c r="FQ7" i="1"/>
  <c r="FP7" i="1"/>
  <c r="FO7" i="1"/>
  <c r="FN7" i="1"/>
  <c r="FI7" i="1"/>
  <c r="FG7" i="1"/>
  <c r="FF7" i="1"/>
  <c r="FD7" i="1"/>
  <c r="EN8" i="1"/>
  <c r="EK8" i="1"/>
  <c r="FW7" i="1" l="1"/>
  <c r="FV7" i="1"/>
  <c r="FL7" i="1"/>
  <c r="FM7" i="1"/>
  <c r="FK8" i="1"/>
  <c r="FK7" i="1" s="1"/>
  <c r="FM8" i="1"/>
  <c r="FC8" i="1"/>
  <c r="FB8" i="1"/>
  <c r="FA8" i="1"/>
  <c r="FA7" i="1" s="1"/>
  <c r="EZ8" i="1"/>
  <c r="EZ7" i="1" s="1"/>
  <c r="ER8" i="1"/>
  <c r="EP8" i="1"/>
  <c r="EP7" i="1" s="1"/>
  <c r="EN7" i="1"/>
  <c r="EK7" i="1"/>
  <c r="EY7" i="1"/>
  <c r="EX7" i="1"/>
  <c r="EW7" i="1"/>
  <c r="EV7" i="1"/>
  <c r="EU7" i="1"/>
  <c r="ET7" i="1"/>
  <c r="EO7" i="1"/>
  <c r="EM7" i="1"/>
  <c r="EL7" i="1"/>
  <c r="EJ7" i="1"/>
  <c r="DT8" i="1"/>
  <c r="DQ8" i="1"/>
  <c r="ES7" i="1" l="1"/>
  <c r="FC7" i="1"/>
  <c r="ER7" i="1"/>
  <c r="FB7" i="1"/>
  <c r="EQ8" i="1"/>
  <c r="EQ7" i="1" s="1"/>
  <c r="ES8" i="1"/>
  <c r="EI8" i="1"/>
  <c r="EH8" i="1"/>
  <c r="EG8" i="1"/>
  <c r="EG7" i="1" s="1"/>
  <c r="EF8" i="1"/>
  <c r="EF7" i="1" s="1"/>
  <c r="DX8" i="1"/>
  <c r="DW8" i="1"/>
  <c r="DW7" i="1" s="1"/>
  <c r="DV8" i="1"/>
  <c r="DV7" i="1" s="1"/>
  <c r="DY8" i="1"/>
  <c r="EE7" i="1"/>
  <c r="ED7" i="1"/>
  <c r="EC7" i="1"/>
  <c r="EB7" i="1"/>
  <c r="EA7" i="1"/>
  <c r="DZ7" i="1"/>
  <c r="DU7" i="1"/>
  <c r="DT7" i="1"/>
  <c r="DS7" i="1"/>
  <c r="DR7" i="1"/>
  <c r="DQ7" i="1"/>
  <c r="DP7" i="1"/>
  <c r="CZ8" i="1"/>
  <c r="DX7" i="1" l="1"/>
  <c r="EH7" i="1"/>
  <c r="EI7" i="1"/>
  <c r="DY7" i="1"/>
  <c r="CW8" i="1"/>
  <c r="DE8" i="1" s="1"/>
  <c r="DO8" i="1"/>
  <c r="DN8" i="1"/>
  <c r="DM8" i="1"/>
  <c r="DM7" i="1" s="1"/>
  <c r="DL8" i="1"/>
  <c r="DL7" i="1" s="1"/>
  <c r="DD8" i="1"/>
  <c r="DB8" i="1"/>
  <c r="DB7" i="1" s="1"/>
  <c r="DK7" i="1"/>
  <c r="DJ7" i="1"/>
  <c r="DI7" i="1"/>
  <c r="DH7" i="1"/>
  <c r="DG7" i="1"/>
  <c r="DF7" i="1"/>
  <c r="DA7" i="1"/>
  <c r="CZ7" i="1"/>
  <c r="CY7" i="1"/>
  <c r="CX7" i="1"/>
  <c r="CV7" i="1"/>
  <c r="CU8" i="1"/>
  <c r="CT8" i="1"/>
  <c r="CS8" i="1"/>
  <c r="CS7" i="1" s="1"/>
  <c r="CR8" i="1"/>
  <c r="CR7" i="1" s="1"/>
  <c r="CQ7" i="1"/>
  <c r="CP7" i="1"/>
  <c r="CO7" i="1"/>
  <c r="CN7" i="1"/>
  <c r="CM7" i="1"/>
  <c r="CL7" i="1"/>
  <c r="CK8" i="1"/>
  <c r="CJ8" i="1"/>
  <c r="CH8" i="1"/>
  <c r="CH7" i="1" s="1"/>
  <c r="CI8" i="1"/>
  <c r="CI7" i="1" s="1"/>
  <c r="CG7" i="1"/>
  <c r="CF7" i="1"/>
  <c r="CE7" i="1"/>
  <c r="CD7" i="1"/>
  <c r="CC7" i="1"/>
  <c r="CB7" i="1"/>
  <c r="BX8" i="1"/>
  <c r="BU8" i="1"/>
  <c r="BG8" i="1" s="1"/>
  <c r="BG7" i="1" s="1"/>
  <c r="BH8" i="1"/>
  <c r="BH7" i="1" s="1"/>
  <c r="BF8" i="1"/>
  <c r="BF7" i="1" s="1"/>
  <c r="BK8" i="1"/>
  <c r="BI8" i="1"/>
  <c r="BZ8" i="1"/>
  <c r="BZ7" i="1" s="1"/>
  <c r="BY7" i="1"/>
  <c r="BW7" i="1"/>
  <c r="BV7" i="1"/>
  <c r="BT7" i="1"/>
  <c r="BR8" i="1"/>
  <c r="BR7" i="1" s="1"/>
  <c r="BN7" i="1"/>
  <c r="BM7" i="1"/>
  <c r="BL7" i="1"/>
  <c r="BP8" i="1"/>
  <c r="BS8" i="1" s="1"/>
  <c r="BS7" i="1" s="1"/>
  <c r="CW7" i="1" l="1"/>
  <c r="DE7" i="1" s="1"/>
  <c r="DD7" i="1"/>
  <c r="DC8" i="1"/>
  <c r="DC7" i="1" s="1"/>
  <c r="DN7" i="1"/>
  <c r="DO7" i="1"/>
  <c r="CU7" i="1"/>
  <c r="CK7" i="1"/>
  <c r="CT7" i="1"/>
  <c r="CJ7" i="1"/>
  <c r="BJ8" i="1"/>
  <c r="BJ7" i="1" s="1"/>
  <c r="BU7" i="1"/>
  <c r="CA8" i="1"/>
  <c r="CA7" i="1" s="1"/>
  <c r="BX7" i="1"/>
  <c r="BK7" i="1"/>
  <c r="BI7" i="1"/>
  <c r="BQ7" i="1"/>
  <c r="BP7" i="1"/>
  <c r="BO7" i="1"/>
  <c r="AY8" i="1" l="1"/>
  <c r="AY7" i="1" s="1"/>
  <c r="AX8" i="1"/>
  <c r="AX7" i="1" s="1"/>
  <c r="AW8" i="1"/>
  <c r="AW7" i="1" s="1"/>
  <c r="BE7" i="1"/>
  <c r="BD7" i="1"/>
  <c r="BC7" i="1"/>
  <c r="BB7" i="1"/>
  <c r="BA7" i="1"/>
  <c r="AZ7" i="1"/>
  <c r="AO8" i="1"/>
  <c r="AO7" i="1" s="1"/>
  <c r="AP8" i="1"/>
  <c r="AP7" i="1" s="1"/>
  <c r="AN8" i="1"/>
  <c r="AN7" i="1" s="1"/>
  <c r="AV7" i="1"/>
  <c r="AU7" i="1"/>
  <c r="AT7" i="1"/>
  <c r="AS7" i="1"/>
  <c r="AQ7" i="1"/>
  <c r="AI8" i="1"/>
  <c r="AI7" i="1" s="1"/>
  <c r="AG8" i="1"/>
  <c r="AG7" i="1" s="1"/>
  <c r="AE8" i="1"/>
  <c r="AE7" i="1" s="1"/>
  <c r="AM7" i="1"/>
  <c r="AL7" i="1"/>
  <c r="AK7" i="1"/>
  <c r="AJ7" i="1"/>
  <c r="AH7" i="1"/>
  <c r="Q8" i="1"/>
  <c r="Z8" i="1"/>
  <c r="W8" i="1" s="1"/>
  <c r="W7" i="1" s="1"/>
  <c r="X8" i="1"/>
  <c r="X7" i="1" s="1"/>
  <c r="V8" i="1"/>
  <c r="V7" i="1" s="1"/>
  <c r="AD7" i="1"/>
  <c r="AC7" i="1"/>
  <c r="AB7" i="1"/>
  <c r="AA7" i="1"/>
  <c r="Y7" i="1"/>
  <c r="AR7" i="1" l="1"/>
  <c r="AF8" i="1"/>
  <c r="AF7" i="1" s="1"/>
  <c r="Z7" i="1"/>
  <c r="O8" i="1"/>
  <c r="O7" i="1" s="1"/>
  <c r="N8" i="1"/>
  <c r="N7" i="1" s="1"/>
  <c r="M8" i="1"/>
  <c r="M7" i="1" s="1"/>
  <c r="U7" i="1"/>
  <c r="T7" i="1"/>
  <c r="S7" i="1"/>
  <c r="R7" i="1"/>
  <c r="Q7" i="1"/>
  <c r="P7" i="1"/>
  <c r="H8" i="1"/>
  <c r="F8" i="1" l="1"/>
  <c r="F7" i="1" s="1"/>
  <c r="E8" i="1"/>
  <c r="E7" i="1" s="1"/>
  <c r="D8" i="1"/>
  <c r="D7" i="1" s="1"/>
  <c r="L7" i="1"/>
  <c r="K7" i="1"/>
  <c r="J7" i="1"/>
  <c r="I7" i="1"/>
  <c r="H7" i="1"/>
  <c r="G7" i="1"/>
</calcChain>
</file>

<file path=xl/sharedStrings.xml><?xml version="1.0" encoding="utf-8"?>
<sst xmlns="http://schemas.openxmlformats.org/spreadsheetml/2006/main" count="504" uniqueCount="19">
  <si>
    <t>Báo cáo số lượng đi làm TT sản xuất</t>
  </si>
  <si>
    <t>No</t>
  </si>
  <si>
    <t>Tổng</t>
  </si>
  <si>
    <t>Ca ngày</t>
  </si>
  <si>
    <t>Ca đêm</t>
  </si>
  <si>
    <t>Total</t>
  </si>
  <si>
    <t>SX</t>
  </si>
  <si>
    <t>Noi dung</t>
  </si>
  <si>
    <t>Chinh
thuc</t>
  </si>
  <si>
    <t>Thoi
 vu</t>
  </si>
  <si>
    <t>Nguoi 
moi</t>
  </si>
  <si>
    <t>Nhan luc</t>
  </si>
  <si>
    <t>Di lam</t>
  </si>
  <si>
    <t>Nghi vang</t>
  </si>
  <si>
    <t>Tong nhan luc</t>
  </si>
  <si>
    <t>Tong di lam</t>
  </si>
  <si>
    <t>Ti le di lam</t>
  </si>
  <si>
    <t>Ca dem</t>
  </si>
  <si>
    <t>Ca 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</si>
</sst>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Times New Roman"/>
      <family val="2"/>
    </font>
    <font>
      <b/>
      <u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FFCD"/>
        <bgColor indexed="64"/>
      </patternFill>
    </fill>
    <fill>
      <patternFill patternType="solid">
        <fgColor rgb="FFDFFECE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9" fontId="5" fillId="0" borderId="0" applyFont="0" applyFill="0" applyBorder="0" applyAlignment="0" applyProtection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7" fontId="0" fillId="0" borderId="33" xfId="3" applyNumberFormat="1" applyFont="1" applyBorder="1" applyAlignment="1">
      <alignment horizontal="center" vertical="center"/>
    </xf>
    <xf numFmtId="167" fontId="1" fillId="2" borderId="9" xfId="3" applyNumberFormat="1" applyFont="1" applyFill="1" applyBorder="1" applyAlignment="1">
      <alignment horizontal="center" vertical="center"/>
    </xf>
    <xf numFmtId="167" fontId="1" fillId="2" borderId="10" xfId="3" applyNumberFormat="1" applyFont="1" applyFill="1" applyBorder="1" applyAlignment="1">
      <alignment horizontal="center" vertical="center"/>
    </xf>
    <xf numFmtId="167" fontId="0" fillId="0" borderId="26" xfId="3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7" fontId="0" fillId="0" borderId="34" xfId="3" applyNumberFormat="1" applyFont="1" applyBorder="1" applyAlignment="1">
      <alignment horizontal="center" vertical="center"/>
    </xf>
    <xf numFmtId="167" fontId="0" fillId="3" borderId="23" xfId="3" applyNumberFormat="1" applyFont="1" applyFill="1" applyBorder="1" applyAlignment="1">
      <alignment horizontal="center" vertical="center"/>
    </xf>
    <xf numFmtId="167" fontId="0" fillId="3" borderId="14" xfId="3" applyNumberFormat="1" applyFont="1" applyFill="1" applyBorder="1" applyAlignment="1">
      <alignment horizontal="center" vertical="center"/>
    </xf>
    <xf numFmtId="167" fontId="0" fillId="0" borderId="35" xfId="3" applyNumberFormat="1" applyFont="1" applyBorder="1" applyAlignment="1">
      <alignment horizontal="center" vertical="center"/>
    </xf>
  </cellXfs>
  <cellStyles count="4">
    <cellStyle name="Normal" xfId="0" builtinId="0"/>
    <cellStyle name="Normal 124" xfId="2" xr:uid="{E4378D0A-9B4E-4DE6-A76B-01636C3E25BC}"/>
    <cellStyle name="Normal 2" xfId="1" xr:uid="{95901BF3-AA0D-4A67-BFA4-451BDE6D6B62}"/>
    <cellStyle name="Percent" xfId="3" builtinId="5"/>
  </cellStyles>
  <dxfs count="0"/>
  <tableStyles count="0" defaultTableStyle="TableStyleMedium2" defaultPivotStyle="PivotStyleLight16"/>
  <colors>
    <mruColors>
      <color rgb="FFDFFECE"/>
      <color rgb="FFDFFFCD"/>
      <color rgb="FFCC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21E2-5DCA-413E-B264-7A721C0777B4}">
  <dimension ref="B2:MC8"/>
  <sheetViews>
    <sheetView tabSelected="1" workbookViewId="0">
      <selection activeCell="LR20" sqref="LR20"/>
    </sheetView>
  </sheetViews>
  <sheetFormatPr defaultRowHeight="15" x14ac:dyDescent="0.25"/>
  <cols>
    <col min="1" max="1" width="5.140625" customWidth="1"/>
    <col min="2" max="2" width="7.28515625" hidden="1" customWidth="1"/>
    <col min="3" max="3" width="10" hidden="1" customWidth="1"/>
    <col min="4" max="63" width="7.85546875" style="2" hidden="1" customWidth="1"/>
    <col min="64" max="299" width="7.5703125" style="2" hidden="1" customWidth="1"/>
    <col min="300" max="300" width="7.28515625" customWidth="1"/>
    <col min="301" max="301" width="10" customWidth="1"/>
    <col min="302" max="321" width="7.5703125" style="2" hidden="1" customWidth="1"/>
    <col min="322" max="341" width="7.5703125" style="2" customWidth="1"/>
    <col min="342" max="342" width="5.85546875" customWidth="1"/>
  </cols>
  <sheetData>
    <row r="2" spans="2:341" ht="32.25" customHeight="1" x14ac:dyDescent="0.25">
      <c r="B2" s="8" t="s">
        <v>0</v>
      </c>
      <c r="KN2" s="8" t="s">
        <v>0</v>
      </c>
    </row>
    <row r="3" spans="2:341" ht="34.5" customHeight="1" x14ac:dyDescent="0.25">
      <c r="B3" s="38" t="s">
        <v>1</v>
      </c>
      <c r="C3" s="40" t="s">
        <v>7</v>
      </c>
      <c r="D3" s="27">
        <v>45992</v>
      </c>
      <c r="E3" s="28"/>
      <c r="F3" s="28"/>
      <c r="G3" s="28"/>
      <c r="H3" s="28"/>
      <c r="I3" s="28"/>
      <c r="J3" s="28"/>
      <c r="K3" s="28"/>
      <c r="L3" s="29"/>
      <c r="M3" s="27">
        <v>45993</v>
      </c>
      <c r="N3" s="28"/>
      <c r="O3" s="28"/>
      <c r="P3" s="28"/>
      <c r="Q3" s="28"/>
      <c r="R3" s="28"/>
      <c r="S3" s="28"/>
      <c r="T3" s="28"/>
      <c r="U3" s="29"/>
      <c r="V3" s="27">
        <v>45994</v>
      </c>
      <c r="W3" s="28"/>
      <c r="X3" s="28"/>
      <c r="Y3" s="28"/>
      <c r="Z3" s="28"/>
      <c r="AA3" s="28"/>
      <c r="AB3" s="28"/>
      <c r="AC3" s="28"/>
      <c r="AD3" s="29"/>
      <c r="AE3" s="27">
        <v>45995</v>
      </c>
      <c r="AF3" s="28"/>
      <c r="AG3" s="28"/>
      <c r="AH3" s="28"/>
      <c r="AI3" s="28"/>
      <c r="AJ3" s="28"/>
      <c r="AK3" s="28"/>
      <c r="AL3" s="28"/>
      <c r="AM3" s="29"/>
      <c r="AN3" s="27">
        <v>45996</v>
      </c>
      <c r="AO3" s="28"/>
      <c r="AP3" s="28"/>
      <c r="AQ3" s="28"/>
      <c r="AR3" s="28"/>
      <c r="AS3" s="28"/>
      <c r="AT3" s="28"/>
      <c r="AU3" s="28"/>
      <c r="AV3" s="29"/>
      <c r="AW3" s="27">
        <v>45997</v>
      </c>
      <c r="AX3" s="28"/>
      <c r="AY3" s="28"/>
      <c r="AZ3" s="28"/>
      <c r="BA3" s="28"/>
      <c r="BB3" s="28"/>
      <c r="BC3" s="28"/>
      <c r="BD3" s="28"/>
      <c r="BE3" s="29"/>
      <c r="BF3" s="27">
        <v>45999</v>
      </c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9"/>
      <c r="CB3" s="27">
        <v>46000</v>
      </c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9"/>
      <c r="CV3" s="27">
        <v>46001</v>
      </c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9"/>
      <c r="DP3" s="27">
        <v>46002</v>
      </c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9"/>
      <c r="EJ3" s="27">
        <v>46003</v>
      </c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9"/>
      <c r="FD3" s="27">
        <v>46004</v>
      </c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9"/>
      <c r="FX3" s="27">
        <v>46006</v>
      </c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9"/>
      <c r="GR3" s="27">
        <v>46007</v>
      </c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9"/>
      <c r="HL3" s="27">
        <v>46008</v>
      </c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9"/>
      <c r="IF3" s="27">
        <v>46009</v>
      </c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  <c r="IW3" s="28"/>
      <c r="IX3" s="28"/>
      <c r="IY3" s="29"/>
      <c r="IZ3" s="27">
        <v>46010</v>
      </c>
      <c r="JA3" s="28"/>
      <c r="JB3" s="28"/>
      <c r="JC3" s="28"/>
      <c r="JD3" s="28"/>
      <c r="JE3" s="28"/>
      <c r="JF3" s="28"/>
      <c r="JG3" s="28"/>
      <c r="JH3" s="28"/>
      <c r="JI3" s="28"/>
      <c r="JJ3" s="28"/>
      <c r="JK3" s="28"/>
      <c r="JL3" s="28"/>
      <c r="JM3" s="28"/>
      <c r="JN3" s="28"/>
      <c r="JO3" s="28"/>
      <c r="JP3" s="28"/>
      <c r="JQ3" s="28"/>
      <c r="JR3" s="28"/>
      <c r="JS3" s="29"/>
      <c r="JT3" s="27">
        <v>46011</v>
      </c>
      <c r="JU3" s="28"/>
      <c r="JV3" s="28"/>
      <c r="JW3" s="28"/>
      <c r="JX3" s="28"/>
      <c r="JY3" s="28"/>
      <c r="JZ3" s="28"/>
      <c r="KA3" s="28"/>
      <c r="KB3" s="28"/>
      <c r="KC3" s="28"/>
      <c r="KD3" s="28"/>
      <c r="KE3" s="28"/>
      <c r="KF3" s="28"/>
      <c r="KG3" s="28"/>
      <c r="KH3" s="28"/>
      <c r="KI3" s="28"/>
      <c r="KJ3" s="28"/>
      <c r="KK3" s="28"/>
      <c r="KL3" s="28"/>
      <c r="KM3" s="29"/>
      <c r="KN3" s="38" t="s">
        <v>1</v>
      </c>
      <c r="KO3" s="40" t="s">
        <v>7</v>
      </c>
      <c r="KP3" s="27">
        <v>46024</v>
      </c>
      <c r="KQ3" s="28"/>
      <c r="KR3" s="28"/>
      <c r="KS3" s="28"/>
      <c r="KT3" s="28"/>
      <c r="KU3" s="28"/>
      <c r="KV3" s="28"/>
      <c r="KW3" s="28"/>
      <c r="KX3" s="28"/>
      <c r="KY3" s="28"/>
      <c r="KZ3" s="28"/>
      <c r="LA3" s="28"/>
      <c r="LB3" s="28"/>
      <c r="LC3" s="28"/>
      <c r="LD3" s="28"/>
      <c r="LE3" s="28"/>
      <c r="LF3" s="28"/>
      <c r="LG3" s="28"/>
      <c r="LH3" s="28"/>
      <c r="LI3" s="29"/>
      <c r="LJ3" s="27">
        <v>46025</v>
      </c>
      <c r="LK3" s="28"/>
      <c r="LL3" s="28"/>
      <c r="LM3" s="28"/>
      <c r="LN3" s="28"/>
      <c r="LO3" s="28"/>
      <c r="LP3" s="28"/>
      <c r="LQ3" s="28"/>
      <c r="LR3" s="28"/>
      <c r="LS3" s="28"/>
      <c r="LT3" s="28"/>
      <c r="LU3" s="28"/>
      <c r="LV3" s="28"/>
      <c r="LW3" s="28"/>
      <c r="LX3" s="28"/>
      <c r="LY3" s="28"/>
      <c r="LZ3" s="28"/>
      <c r="MA3" s="28"/>
      <c r="MB3" s="28"/>
      <c r="MC3" s="29"/>
    </row>
    <row r="4" spans="2:341" ht="39.75" customHeight="1" x14ac:dyDescent="0.25">
      <c r="B4" s="39"/>
      <c r="C4" s="41"/>
      <c r="D4" s="30" t="s">
        <v>2</v>
      </c>
      <c r="E4" s="31"/>
      <c r="F4" s="32"/>
      <c r="G4" s="30" t="s">
        <v>3</v>
      </c>
      <c r="H4" s="31"/>
      <c r="I4" s="32"/>
      <c r="J4" s="30" t="s">
        <v>4</v>
      </c>
      <c r="K4" s="31"/>
      <c r="L4" s="32"/>
      <c r="M4" s="30" t="s">
        <v>2</v>
      </c>
      <c r="N4" s="31"/>
      <c r="O4" s="32"/>
      <c r="P4" s="30" t="s">
        <v>3</v>
      </c>
      <c r="Q4" s="31"/>
      <c r="R4" s="32"/>
      <c r="S4" s="30" t="s">
        <v>4</v>
      </c>
      <c r="T4" s="31"/>
      <c r="U4" s="32"/>
      <c r="V4" s="30" t="s">
        <v>2</v>
      </c>
      <c r="W4" s="31"/>
      <c r="X4" s="32"/>
      <c r="Y4" s="30" t="s">
        <v>3</v>
      </c>
      <c r="Z4" s="31"/>
      <c r="AA4" s="32"/>
      <c r="AB4" s="30" t="s">
        <v>4</v>
      </c>
      <c r="AC4" s="31"/>
      <c r="AD4" s="32"/>
      <c r="AE4" s="30" t="s">
        <v>2</v>
      </c>
      <c r="AF4" s="31"/>
      <c r="AG4" s="32"/>
      <c r="AH4" s="30" t="s">
        <v>3</v>
      </c>
      <c r="AI4" s="31"/>
      <c r="AJ4" s="32"/>
      <c r="AK4" s="30" t="s">
        <v>4</v>
      </c>
      <c r="AL4" s="31"/>
      <c r="AM4" s="32"/>
      <c r="AN4" s="30" t="s">
        <v>2</v>
      </c>
      <c r="AO4" s="31"/>
      <c r="AP4" s="32"/>
      <c r="AQ4" s="30" t="s">
        <v>3</v>
      </c>
      <c r="AR4" s="31"/>
      <c r="AS4" s="32"/>
      <c r="AT4" s="30" t="s">
        <v>4</v>
      </c>
      <c r="AU4" s="31"/>
      <c r="AV4" s="32"/>
      <c r="AW4" s="30" t="s">
        <v>2</v>
      </c>
      <c r="AX4" s="31"/>
      <c r="AY4" s="32"/>
      <c r="AZ4" s="30" t="s">
        <v>3</v>
      </c>
      <c r="BA4" s="31"/>
      <c r="BB4" s="32"/>
      <c r="BC4" s="30" t="s">
        <v>4</v>
      </c>
      <c r="BD4" s="31"/>
      <c r="BE4" s="32"/>
      <c r="BF4" s="46" t="s">
        <v>14</v>
      </c>
      <c r="BG4" s="44"/>
      <c r="BH4" s="47"/>
      <c r="BI4" s="51" t="s">
        <v>15</v>
      </c>
      <c r="BJ4" s="44"/>
      <c r="BK4" s="47"/>
      <c r="BL4" s="42" t="s">
        <v>3</v>
      </c>
      <c r="BM4" s="43"/>
      <c r="BN4" s="43"/>
      <c r="BO4" s="44"/>
      <c r="BP4" s="44"/>
      <c r="BQ4" s="44"/>
      <c r="BR4" s="43"/>
      <c r="BS4" s="45"/>
      <c r="BT4" s="46" t="s">
        <v>4</v>
      </c>
      <c r="BU4" s="44"/>
      <c r="BV4" s="44"/>
      <c r="BW4" s="44"/>
      <c r="BX4" s="44"/>
      <c r="BY4" s="44"/>
      <c r="BZ4" s="44"/>
      <c r="CA4" s="47"/>
      <c r="CB4" s="30" t="s">
        <v>18</v>
      </c>
      <c r="CC4" s="31"/>
      <c r="CD4" s="31"/>
      <c r="CE4" s="31"/>
      <c r="CF4" s="31"/>
      <c r="CG4" s="31"/>
      <c r="CH4" s="31"/>
      <c r="CI4" s="31"/>
      <c r="CJ4" s="31"/>
      <c r="CK4" s="32"/>
      <c r="CL4" s="30" t="s">
        <v>17</v>
      </c>
      <c r="CM4" s="31"/>
      <c r="CN4" s="31"/>
      <c r="CO4" s="31"/>
      <c r="CP4" s="31"/>
      <c r="CQ4" s="31"/>
      <c r="CR4" s="31"/>
      <c r="CS4" s="31"/>
      <c r="CT4" s="31"/>
      <c r="CU4" s="32"/>
      <c r="CV4" s="30" t="s">
        <v>18</v>
      </c>
      <c r="CW4" s="31"/>
      <c r="CX4" s="31"/>
      <c r="CY4" s="31"/>
      <c r="CZ4" s="31"/>
      <c r="DA4" s="31"/>
      <c r="DB4" s="31"/>
      <c r="DC4" s="31"/>
      <c r="DD4" s="31"/>
      <c r="DE4" s="32"/>
      <c r="DF4" s="30" t="s">
        <v>17</v>
      </c>
      <c r="DG4" s="31"/>
      <c r="DH4" s="31"/>
      <c r="DI4" s="31"/>
      <c r="DJ4" s="31"/>
      <c r="DK4" s="31"/>
      <c r="DL4" s="31"/>
      <c r="DM4" s="31"/>
      <c r="DN4" s="31"/>
      <c r="DO4" s="32"/>
      <c r="DP4" s="30" t="s">
        <v>18</v>
      </c>
      <c r="DQ4" s="31"/>
      <c r="DR4" s="31"/>
      <c r="DS4" s="31"/>
      <c r="DT4" s="31"/>
      <c r="DU4" s="31"/>
      <c r="DV4" s="31"/>
      <c r="DW4" s="31"/>
      <c r="DX4" s="31"/>
      <c r="DY4" s="32"/>
      <c r="DZ4" s="30" t="s">
        <v>17</v>
      </c>
      <c r="EA4" s="31"/>
      <c r="EB4" s="31"/>
      <c r="EC4" s="31"/>
      <c r="ED4" s="31"/>
      <c r="EE4" s="31"/>
      <c r="EF4" s="31"/>
      <c r="EG4" s="31"/>
      <c r="EH4" s="31"/>
      <c r="EI4" s="32"/>
      <c r="EJ4" s="30" t="s">
        <v>18</v>
      </c>
      <c r="EK4" s="31"/>
      <c r="EL4" s="31"/>
      <c r="EM4" s="31"/>
      <c r="EN4" s="31"/>
      <c r="EO4" s="31"/>
      <c r="EP4" s="31"/>
      <c r="EQ4" s="31"/>
      <c r="ER4" s="31"/>
      <c r="ES4" s="32"/>
      <c r="ET4" s="30" t="s">
        <v>17</v>
      </c>
      <c r="EU4" s="31"/>
      <c r="EV4" s="31"/>
      <c r="EW4" s="31"/>
      <c r="EX4" s="31"/>
      <c r="EY4" s="31"/>
      <c r="EZ4" s="31"/>
      <c r="FA4" s="31"/>
      <c r="FB4" s="31"/>
      <c r="FC4" s="32"/>
      <c r="FD4" s="30" t="s">
        <v>18</v>
      </c>
      <c r="FE4" s="31"/>
      <c r="FF4" s="31"/>
      <c r="FG4" s="31"/>
      <c r="FH4" s="31"/>
      <c r="FI4" s="31"/>
      <c r="FJ4" s="31"/>
      <c r="FK4" s="31"/>
      <c r="FL4" s="31"/>
      <c r="FM4" s="32"/>
      <c r="FN4" s="30" t="s">
        <v>17</v>
      </c>
      <c r="FO4" s="31"/>
      <c r="FP4" s="31"/>
      <c r="FQ4" s="31"/>
      <c r="FR4" s="31"/>
      <c r="FS4" s="31"/>
      <c r="FT4" s="31"/>
      <c r="FU4" s="31"/>
      <c r="FV4" s="31"/>
      <c r="FW4" s="32"/>
      <c r="FX4" s="30" t="s">
        <v>18</v>
      </c>
      <c r="FY4" s="31"/>
      <c r="FZ4" s="31"/>
      <c r="GA4" s="31"/>
      <c r="GB4" s="31"/>
      <c r="GC4" s="31"/>
      <c r="GD4" s="31"/>
      <c r="GE4" s="31"/>
      <c r="GF4" s="31"/>
      <c r="GG4" s="32"/>
      <c r="GH4" s="30" t="s">
        <v>17</v>
      </c>
      <c r="GI4" s="31"/>
      <c r="GJ4" s="31"/>
      <c r="GK4" s="31"/>
      <c r="GL4" s="31"/>
      <c r="GM4" s="31"/>
      <c r="GN4" s="31"/>
      <c r="GO4" s="31"/>
      <c r="GP4" s="31"/>
      <c r="GQ4" s="32"/>
      <c r="GR4" s="30" t="s">
        <v>18</v>
      </c>
      <c r="GS4" s="31"/>
      <c r="GT4" s="31"/>
      <c r="GU4" s="31"/>
      <c r="GV4" s="31"/>
      <c r="GW4" s="31"/>
      <c r="GX4" s="31"/>
      <c r="GY4" s="31"/>
      <c r="GZ4" s="31"/>
      <c r="HA4" s="32"/>
      <c r="HB4" s="30" t="s">
        <v>17</v>
      </c>
      <c r="HC4" s="31"/>
      <c r="HD4" s="31"/>
      <c r="HE4" s="31"/>
      <c r="HF4" s="31"/>
      <c r="HG4" s="31"/>
      <c r="HH4" s="31"/>
      <c r="HI4" s="31"/>
      <c r="HJ4" s="31"/>
      <c r="HK4" s="32"/>
      <c r="HL4" s="30" t="s">
        <v>18</v>
      </c>
      <c r="HM4" s="31"/>
      <c r="HN4" s="31"/>
      <c r="HO4" s="31"/>
      <c r="HP4" s="31"/>
      <c r="HQ4" s="31"/>
      <c r="HR4" s="31"/>
      <c r="HS4" s="31"/>
      <c r="HT4" s="31"/>
      <c r="HU4" s="32"/>
      <c r="HV4" s="30" t="s">
        <v>17</v>
      </c>
      <c r="HW4" s="31"/>
      <c r="HX4" s="31"/>
      <c r="HY4" s="31"/>
      <c r="HZ4" s="31"/>
      <c r="IA4" s="31"/>
      <c r="IB4" s="31"/>
      <c r="IC4" s="31"/>
      <c r="ID4" s="31"/>
      <c r="IE4" s="32"/>
      <c r="IF4" s="30" t="s">
        <v>18</v>
      </c>
      <c r="IG4" s="31"/>
      <c r="IH4" s="31"/>
      <c r="II4" s="31"/>
      <c r="IJ4" s="31"/>
      <c r="IK4" s="31"/>
      <c r="IL4" s="31"/>
      <c r="IM4" s="31"/>
      <c r="IN4" s="31"/>
      <c r="IO4" s="32"/>
      <c r="IP4" s="30" t="s">
        <v>17</v>
      </c>
      <c r="IQ4" s="31"/>
      <c r="IR4" s="31"/>
      <c r="IS4" s="31"/>
      <c r="IT4" s="31"/>
      <c r="IU4" s="31"/>
      <c r="IV4" s="31"/>
      <c r="IW4" s="31"/>
      <c r="IX4" s="31"/>
      <c r="IY4" s="32"/>
      <c r="IZ4" s="30" t="s">
        <v>18</v>
      </c>
      <c r="JA4" s="31"/>
      <c r="JB4" s="31"/>
      <c r="JC4" s="31"/>
      <c r="JD4" s="31"/>
      <c r="JE4" s="31"/>
      <c r="JF4" s="31"/>
      <c r="JG4" s="31"/>
      <c r="JH4" s="31"/>
      <c r="JI4" s="32"/>
      <c r="JJ4" s="30" t="s">
        <v>17</v>
      </c>
      <c r="JK4" s="31"/>
      <c r="JL4" s="31"/>
      <c r="JM4" s="31"/>
      <c r="JN4" s="31"/>
      <c r="JO4" s="31"/>
      <c r="JP4" s="31"/>
      <c r="JQ4" s="31"/>
      <c r="JR4" s="31"/>
      <c r="JS4" s="32"/>
      <c r="JT4" s="30" t="s">
        <v>18</v>
      </c>
      <c r="JU4" s="31"/>
      <c r="JV4" s="31"/>
      <c r="JW4" s="31"/>
      <c r="JX4" s="31"/>
      <c r="JY4" s="31"/>
      <c r="JZ4" s="31"/>
      <c r="KA4" s="31"/>
      <c r="KB4" s="31"/>
      <c r="KC4" s="32"/>
      <c r="KD4" s="30" t="s">
        <v>17</v>
      </c>
      <c r="KE4" s="31"/>
      <c r="KF4" s="31"/>
      <c r="KG4" s="31"/>
      <c r="KH4" s="31"/>
      <c r="KI4" s="31"/>
      <c r="KJ4" s="31"/>
      <c r="KK4" s="31"/>
      <c r="KL4" s="31"/>
      <c r="KM4" s="32"/>
      <c r="KN4" s="39"/>
      <c r="KO4" s="41"/>
      <c r="KP4" s="30" t="s">
        <v>18</v>
      </c>
      <c r="KQ4" s="31"/>
      <c r="KR4" s="31"/>
      <c r="KS4" s="31"/>
      <c r="KT4" s="31"/>
      <c r="KU4" s="31"/>
      <c r="KV4" s="31"/>
      <c r="KW4" s="31"/>
      <c r="KX4" s="31"/>
      <c r="KY4" s="32"/>
      <c r="KZ4" s="30" t="s">
        <v>17</v>
      </c>
      <c r="LA4" s="31"/>
      <c r="LB4" s="31"/>
      <c r="LC4" s="31"/>
      <c r="LD4" s="31"/>
      <c r="LE4" s="31"/>
      <c r="LF4" s="31"/>
      <c r="LG4" s="31"/>
      <c r="LH4" s="31"/>
      <c r="LI4" s="32"/>
      <c r="LJ4" s="30" t="s">
        <v>18</v>
      </c>
      <c r="LK4" s="31"/>
      <c r="LL4" s="31"/>
      <c r="LM4" s="31"/>
      <c r="LN4" s="31"/>
      <c r="LO4" s="31"/>
      <c r="LP4" s="31"/>
      <c r="LQ4" s="31"/>
      <c r="LR4" s="31"/>
      <c r="LS4" s="32"/>
      <c r="LT4" s="30" t="s">
        <v>17</v>
      </c>
      <c r="LU4" s="31"/>
      <c r="LV4" s="31"/>
      <c r="LW4" s="31"/>
      <c r="LX4" s="31"/>
      <c r="LY4" s="31"/>
      <c r="LZ4" s="31"/>
      <c r="MA4" s="31"/>
      <c r="MB4" s="31"/>
      <c r="MC4" s="32"/>
    </row>
    <row r="5" spans="2:341" ht="39.75" customHeight="1" x14ac:dyDescent="0.25">
      <c r="B5" s="39"/>
      <c r="C5" s="41"/>
      <c r="D5" s="5"/>
      <c r="E5" s="6"/>
      <c r="F5" s="7"/>
      <c r="G5" s="5"/>
      <c r="H5" s="6"/>
      <c r="I5" s="7"/>
      <c r="J5" s="5"/>
      <c r="K5" s="6"/>
      <c r="L5" s="7"/>
      <c r="M5" s="5"/>
      <c r="N5" s="6"/>
      <c r="O5" s="7"/>
      <c r="P5" s="5"/>
      <c r="Q5" s="6"/>
      <c r="R5" s="7"/>
      <c r="S5" s="5"/>
      <c r="T5" s="6"/>
      <c r="U5" s="7"/>
      <c r="V5" s="5"/>
      <c r="W5" s="6"/>
      <c r="X5" s="7"/>
      <c r="Y5" s="5"/>
      <c r="Z5" s="6"/>
      <c r="AA5" s="7"/>
      <c r="AB5" s="5"/>
      <c r="AC5" s="6"/>
      <c r="AD5" s="7"/>
      <c r="AE5" s="5"/>
      <c r="AF5" s="6"/>
      <c r="AG5" s="7"/>
      <c r="AH5" s="5"/>
      <c r="AI5" s="6"/>
      <c r="AJ5" s="7"/>
      <c r="AK5" s="5"/>
      <c r="AL5" s="6"/>
      <c r="AM5" s="7"/>
      <c r="AN5" s="5"/>
      <c r="AO5" s="6"/>
      <c r="AP5" s="7"/>
      <c r="AQ5" s="5"/>
      <c r="AR5" s="6"/>
      <c r="AS5" s="7"/>
      <c r="AT5" s="5"/>
      <c r="AU5" s="6"/>
      <c r="AV5" s="7"/>
      <c r="AW5" s="5"/>
      <c r="AX5" s="6"/>
      <c r="AY5" s="7"/>
      <c r="AZ5" s="5"/>
      <c r="BA5" s="6"/>
      <c r="BB5" s="7"/>
      <c r="BC5" s="5"/>
      <c r="BD5" s="6"/>
      <c r="BE5" s="7"/>
      <c r="BF5" s="48"/>
      <c r="BG5" s="49"/>
      <c r="BH5" s="50"/>
      <c r="BI5" s="52"/>
      <c r="BJ5" s="49"/>
      <c r="BK5" s="50"/>
      <c r="BL5" s="33" t="s">
        <v>11</v>
      </c>
      <c r="BM5" s="34"/>
      <c r="BN5" s="35"/>
      <c r="BO5" s="33" t="s">
        <v>12</v>
      </c>
      <c r="BP5" s="34"/>
      <c r="BQ5" s="35"/>
      <c r="BR5" s="33" t="s">
        <v>13</v>
      </c>
      <c r="BS5" s="35"/>
      <c r="BT5" s="33" t="s">
        <v>11</v>
      </c>
      <c r="BU5" s="34"/>
      <c r="BV5" s="35"/>
      <c r="BW5" s="33" t="s">
        <v>12</v>
      </c>
      <c r="BX5" s="34"/>
      <c r="BY5" s="35"/>
      <c r="BZ5" s="33" t="s">
        <v>13</v>
      </c>
      <c r="CA5" s="35"/>
      <c r="CB5" s="33" t="s">
        <v>11</v>
      </c>
      <c r="CC5" s="34"/>
      <c r="CD5" s="35"/>
      <c r="CE5" s="33" t="s">
        <v>12</v>
      </c>
      <c r="CF5" s="34"/>
      <c r="CG5" s="35"/>
      <c r="CH5" s="33" t="s">
        <v>13</v>
      </c>
      <c r="CI5" s="35"/>
      <c r="CJ5" s="33" t="s">
        <v>16</v>
      </c>
      <c r="CK5" s="35"/>
      <c r="CL5" s="33" t="s">
        <v>11</v>
      </c>
      <c r="CM5" s="34"/>
      <c r="CN5" s="35"/>
      <c r="CO5" s="33" t="s">
        <v>12</v>
      </c>
      <c r="CP5" s="34"/>
      <c r="CQ5" s="35"/>
      <c r="CR5" s="33" t="s">
        <v>13</v>
      </c>
      <c r="CS5" s="35"/>
      <c r="CT5" s="33" t="s">
        <v>16</v>
      </c>
      <c r="CU5" s="35"/>
      <c r="CV5" s="33" t="s">
        <v>11</v>
      </c>
      <c r="CW5" s="34"/>
      <c r="CX5" s="35"/>
      <c r="CY5" s="33" t="s">
        <v>12</v>
      </c>
      <c r="CZ5" s="34"/>
      <c r="DA5" s="35"/>
      <c r="DB5" s="33" t="s">
        <v>13</v>
      </c>
      <c r="DC5" s="35"/>
      <c r="DD5" s="33" t="s">
        <v>16</v>
      </c>
      <c r="DE5" s="35"/>
      <c r="DF5" s="33" t="s">
        <v>11</v>
      </c>
      <c r="DG5" s="34"/>
      <c r="DH5" s="35"/>
      <c r="DI5" s="33" t="s">
        <v>12</v>
      </c>
      <c r="DJ5" s="34"/>
      <c r="DK5" s="35"/>
      <c r="DL5" s="33" t="s">
        <v>13</v>
      </c>
      <c r="DM5" s="35"/>
      <c r="DN5" s="33" t="s">
        <v>16</v>
      </c>
      <c r="DO5" s="35"/>
      <c r="DP5" s="33" t="s">
        <v>11</v>
      </c>
      <c r="DQ5" s="34"/>
      <c r="DR5" s="35"/>
      <c r="DS5" s="33" t="s">
        <v>12</v>
      </c>
      <c r="DT5" s="34"/>
      <c r="DU5" s="35"/>
      <c r="DV5" s="33" t="s">
        <v>13</v>
      </c>
      <c r="DW5" s="35"/>
      <c r="DX5" s="33" t="s">
        <v>16</v>
      </c>
      <c r="DY5" s="35"/>
      <c r="DZ5" s="33" t="s">
        <v>11</v>
      </c>
      <c r="EA5" s="34"/>
      <c r="EB5" s="35"/>
      <c r="EC5" s="33" t="s">
        <v>12</v>
      </c>
      <c r="ED5" s="34"/>
      <c r="EE5" s="35"/>
      <c r="EF5" s="33" t="s">
        <v>13</v>
      </c>
      <c r="EG5" s="35"/>
      <c r="EH5" s="33" t="s">
        <v>16</v>
      </c>
      <c r="EI5" s="35"/>
      <c r="EJ5" s="33" t="s">
        <v>11</v>
      </c>
      <c r="EK5" s="34"/>
      <c r="EL5" s="35"/>
      <c r="EM5" s="33" t="s">
        <v>12</v>
      </c>
      <c r="EN5" s="34"/>
      <c r="EO5" s="35"/>
      <c r="EP5" s="33" t="s">
        <v>13</v>
      </c>
      <c r="EQ5" s="35"/>
      <c r="ER5" s="33" t="s">
        <v>16</v>
      </c>
      <c r="ES5" s="35"/>
      <c r="ET5" s="33" t="s">
        <v>11</v>
      </c>
      <c r="EU5" s="34"/>
      <c r="EV5" s="35"/>
      <c r="EW5" s="33" t="s">
        <v>12</v>
      </c>
      <c r="EX5" s="34"/>
      <c r="EY5" s="35"/>
      <c r="EZ5" s="33" t="s">
        <v>13</v>
      </c>
      <c r="FA5" s="35"/>
      <c r="FB5" s="33" t="s">
        <v>16</v>
      </c>
      <c r="FC5" s="35"/>
      <c r="FD5" s="33" t="s">
        <v>11</v>
      </c>
      <c r="FE5" s="34"/>
      <c r="FF5" s="35"/>
      <c r="FG5" s="33" t="s">
        <v>12</v>
      </c>
      <c r="FH5" s="34"/>
      <c r="FI5" s="35"/>
      <c r="FJ5" s="33" t="s">
        <v>13</v>
      </c>
      <c r="FK5" s="35"/>
      <c r="FL5" s="33" t="s">
        <v>16</v>
      </c>
      <c r="FM5" s="35"/>
      <c r="FN5" s="33" t="s">
        <v>11</v>
      </c>
      <c r="FO5" s="34"/>
      <c r="FP5" s="35"/>
      <c r="FQ5" s="33" t="s">
        <v>12</v>
      </c>
      <c r="FR5" s="34"/>
      <c r="FS5" s="35"/>
      <c r="FT5" s="33" t="s">
        <v>13</v>
      </c>
      <c r="FU5" s="35"/>
      <c r="FV5" s="33" t="s">
        <v>16</v>
      </c>
      <c r="FW5" s="35"/>
      <c r="FX5" s="33" t="s">
        <v>11</v>
      </c>
      <c r="FY5" s="34"/>
      <c r="FZ5" s="35"/>
      <c r="GA5" s="33" t="s">
        <v>12</v>
      </c>
      <c r="GB5" s="34"/>
      <c r="GC5" s="35"/>
      <c r="GD5" s="33" t="s">
        <v>13</v>
      </c>
      <c r="GE5" s="35"/>
      <c r="GF5" s="33" t="s">
        <v>16</v>
      </c>
      <c r="GG5" s="35"/>
      <c r="GH5" s="33" t="s">
        <v>11</v>
      </c>
      <c r="GI5" s="34"/>
      <c r="GJ5" s="35"/>
      <c r="GK5" s="33" t="s">
        <v>12</v>
      </c>
      <c r="GL5" s="34"/>
      <c r="GM5" s="35"/>
      <c r="GN5" s="33" t="s">
        <v>13</v>
      </c>
      <c r="GO5" s="35"/>
      <c r="GP5" s="33" t="s">
        <v>16</v>
      </c>
      <c r="GQ5" s="35"/>
      <c r="GR5" s="33" t="s">
        <v>11</v>
      </c>
      <c r="GS5" s="34"/>
      <c r="GT5" s="35"/>
      <c r="GU5" s="33" t="s">
        <v>12</v>
      </c>
      <c r="GV5" s="34"/>
      <c r="GW5" s="35"/>
      <c r="GX5" s="33" t="s">
        <v>13</v>
      </c>
      <c r="GY5" s="35"/>
      <c r="GZ5" s="33" t="s">
        <v>16</v>
      </c>
      <c r="HA5" s="35"/>
      <c r="HB5" s="33" t="s">
        <v>11</v>
      </c>
      <c r="HC5" s="34"/>
      <c r="HD5" s="35"/>
      <c r="HE5" s="33" t="s">
        <v>12</v>
      </c>
      <c r="HF5" s="34"/>
      <c r="HG5" s="35"/>
      <c r="HH5" s="33" t="s">
        <v>13</v>
      </c>
      <c r="HI5" s="35"/>
      <c r="HJ5" s="33" t="s">
        <v>16</v>
      </c>
      <c r="HK5" s="35"/>
      <c r="HL5" s="33" t="s">
        <v>11</v>
      </c>
      <c r="HM5" s="34"/>
      <c r="HN5" s="35"/>
      <c r="HO5" s="33" t="s">
        <v>12</v>
      </c>
      <c r="HP5" s="34"/>
      <c r="HQ5" s="35"/>
      <c r="HR5" s="33" t="s">
        <v>13</v>
      </c>
      <c r="HS5" s="35"/>
      <c r="HT5" s="33" t="s">
        <v>16</v>
      </c>
      <c r="HU5" s="35"/>
      <c r="HV5" s="33" t="s">
        <v>11</v>
      </c>
      <c r="HW5" s="34"/>
      <c r="HX5" s="35"/>
      <c r="HY5" s="33" t="s">
        <v>12</v>
      </c>
      <c r="HZ5" s="34"/>
      <c r="IA5" s="35"/>
      <c r="IB5" s="33" t="s">
        <v>13</v>
      </c>
      <c r="IC5" s="35"/>
      <c r="ID5" s="33" t="s">
        <v>16</v>
      </c>
      <c r="IE5" s="35"/>
      <c r="IF5" s="33" t="s">
        <v>11</v>
      </c>
      <c r="IG5" s="34"/>
      <c r="IH5" s="35"/>
      <c r="II5" s="33" t="s">
        <v>12</v>
      </c>
      <c r="IJ5" s="34"/>
      <c r="IK5" s="35"/>
      <c r="IL5" s="33" t="s">
        <v>13</v>
      </c>
      <c r="IM5" s="35"/>
      <c r="IN5" s="33" t="s">
        <v>16</v>
      </c>
      <c r="IO5" s="35"/>
      <c r="IP5" s="33" t="s">
        <v>11</v>
      </c>
      <c r="IQ5" s="34"/>
      <c r="IR5" s="35"/>
      <c r="IS5" s="33" t="s">
        <v>12</v>
      </c>
      <c r="IT5" s="34"/>
      <c r="IU5" s="35"/>
      <c r="IV5" s="33" t="s">
        <v>13</v>
      </c>
      <c r="IW5" s="35"/>
      <c r="IX5" s="33" t="s">
        <v>16</v>
      </c>
      <c r="IY5" s="35"/>
      <c r="IZ5" s="33" t="s">
        <v>11</v>
      </c>
      <c r="JA5" s="34"/>
      <c r="JB5" s="35"/>
      <c r="JC5" s="33" t="s">
        <v>12</v>
      </c>
      <c r="JD5" s="34"/>
      <c r="JE5" s="35"/>
      <c r="JF5" s="33" t="s">
        <v>13</v>
      </c>
      <c r="JG5" s="35"/>
      <c r="JH5" s="33" t="s">
        <v>16</v>
      </c>
      <c r="JI5" s="35"/>
      <c r="JJ5" s="33" t="s">
        <v>11</v>
      </c>
      <c r="JK5" s="34"/>
      <c r="JL5" s="35"/>
      <c r="JM5" s="33" t="s">
        <v>12</v>
      </c>
      <c r="JN5" s="34"/>
      <c r="JO5" s="35"/>
      <c r="JP5" s="33" t="s">
        <v>13</v>
      </c>
      <c r="JQ5" s="35"/>
      <c r="JR5" s="33" t="s">
        <v>16</v>
      </c>
      <c r="JS5" s="35"/>
      <c r="JT5" s="33" t="s">
        <v>11</v>
      </c>
      <c r="JU5" s="34"/>
      <c r="JV5" s="35"/>
      <c r="JW5" s="33" t="s">
        <v>12</v>
      </c>
      <c r="JX5" s="34"/>
      <c r="JY5" s="35"/>
      <c r="JZ5" s="33" t="s">
        <v>13</v>
      </c>
      <c r="KA5" s="35"/>
      <c r="KB5" s="33" t="s">
        <v>16</v>
      </c>
      <c r="KC5" s="35"/>
      <c r="KD5" s="33" t="s">
        <v>11</v>
      </c>
      <c r="KE5" s="34"/>
      <c r="KF5" s="35"/>
      <c r="KG5" s="33" t="s">
        <v>12</v>
      </c>
      <c r="KH5" s="34"/>
      <c r="KI5" s="35"/>
      <c r="KJ5" s="33" t="s">
        <v>13</v>
      </c>
      <c r="KK5" s="35"/>
      <c r="KL5" s="33" t="s">
        <v>16</v>
      </c>
      <c r="KM5" s="35"/>
      <c r="KN5" s="39"/>
      <c r="KO5" s="41"/>
      <c r="KP5" s="33" t="s">
        <v>11</v>
      </c>
      <c r="KQ5" s="34"/>
      <c r="KR5" s="35"/>
      <c r="KS5" s="33" t="s">
        <v>12</v>
      </c>
      <c r="KT5" s="34"/>
      <c r="KU5" s="35"/>
      <c r="KV5" s="33" t="s">
        <v>13</v>
      </c>
      <c r="KW5" s="35"/>
      <c r="KX5" s="33" t="s">
        <v>16</v>
      </c>
      <c r="KY5" s="35"/>
      <c r="KZ5" s="33" t="s">
        <v>11</v>
      </c>
      <c r="LA5" s="34"/>
      <c r="LB5" s="35"/>
      <c r="LC5" s="33" t="s">
        <v>12</v>
      </c>
      <c r="LD5" s="34"/>
      <c r="LE5" s="35"/>
      <c r="LF5" s="33" t="s">
        <v>13</v>
      </c>
      <c r="LG5" s="35"/>
      <c r="LH5" s="33" t="s">
        <v>16</v>
      </c>
      <c r="LI5" s="35"/>
      <c r="LJ5" s="33" t="s">
        <v>11</v>
      </c>
      <c r="LK5" s="34"/>
      <c r="LL5" s="35"/>
      <c r="LM5" s="33" t="s">
        <v>12</v>
      </c>
      <c r="LN5" s="34"/>
      <c r="LO5" s="35"/>
      <c r="LP5" s="33" t="s">
        <v>13</v>
      </c>
      <c r="LQ5" s="35"/>
      <c r="LR5" s="33" t="s">
        <v>16</v>
      </c>
      <c r="LS5" s="35"/>
      <c r="LT5" s="33" t="s">
        <v>11</v>
      </c>
      <c r="LU5" s="34"/>
      <c r="LV5" s="35"/>
      <c r="LW5" s="33" t="s">
        <v>12</v>
      </c>
      <c r="LX5" s="34"/>
      <c r="LY5" s="35"/>
      <c r="LZ5" s="33" t="s">
        <v>13</v>
      </c>
      <c r="MA5" s="35"/>
      <c r="MB5" s="33" t="s">
        <v>16</v>
      </c>
      <c r="MC5" s="35"/>
    </row>
    <row r="6" spans="2:341" ht="48" customHeight="1" x14ac:dyDescent="0.25">
      <c r="B6" s="39"/>
      <c r="C6" s="41"/>
      <c r="D6" s="4" t="s">
        <v>8</v>
      </c>
      <c r="E6" s="4" t="s">
        <v>9</v>
      </c>
      <c r="F6" s="4" t="s">
        <v>10</v>
      </c>
      <c r="G6" s="4" t="s">
        <v>8</v>
      </c>
      <c r="H6" s="4" t="s">
        <v>9</v>
      </c>
      <c r="I6" s="4" t="s">
        <v>10</v>
      </c>
      <c r="J6" s="4" t="s">
        <v>8</v>
      </c>
      <c r="K6" s="4" t="s">
        <v>9</v>
      </c>
      <c r="L6" s="4" t="s">
        <v>10</v>
      </c>
      <c r="M6" s="4" t="s">
        <v>8</v>
      </c>
      <c r="N6" s="4" t="s">
        <v>9</v>
      </c>
      <c r="O6" s="4" t="s">
        <v>10</v>
      </c>
      <c r="P6" s="4" t="s">
        <v>8</v>
      </c>
      <c r="Q6" s="4" t="s">
        <v>9</v>
      </c>
      <c r="R6" s="4" t="s">
        <v>10</v>
      </c>
      <c r="S6" s="4" t="s">
        <v>8</v>
      </c>
      <c r="T6" s="4" t="s">
        <v>9</v>
      </c>
      <c r="U6" s="4" t="s">
        <v>10</v>
      </c>
      <c r="V6" s="4" t="s">
        <v>8</v>
      </c>
      <c r="W6" s="4" t="s">
        <v>9</v>
      </c>
      <c r="X6" s="4" t="s">
        <v>10</v>
      </c>
      <c r="Y6" s="4" t="s">
        <v>8</v>
      </c>
      <c r="Z6" s="4" t="s">
        <v>9</v>
      </c>
      <c r="AA6" s="4" t="s">
        <v>10</v>
      </c>
      <c r="AB6" s="4" t="s">
        <v>8</v>
      </c>
      <c r="AC6" s="4" t="s">
        <v>9</v>
      </c>
      <c r="AD6" s="4" t="s">
        <v>10</v>
      </c>
      <c r="AE6" s="4" t="s">
        <v>8</v>
      </c>
      <c r="AF6" s="4" t="s">
        <v>9</v>
      </c>
      <c r="AG6" s="4" t="s">
        <v>10</v>
      </c>
      <c r="AH6" s="4" t="s">
        <v>8</v>
      </c>
      <c r="AI6" s="4" t="s">
        <v>9</v>
      </c>
      <c r="AJ6" s="4" t="s">
        <v>10</v>
      </c>
      <c r="AK6" s="4" t="s">
        <v>8</v>
      </c>
      <c r="AL6" s="4" t="s">
        <v>9</v>
      </c>
      <c r="AM6" s="4" t="s">
        <v>10</v>
      </c>
      <c r="AN6" s="4" t="s">
        <v>8</v>
      </c>
      <c r="AO6" s="4" t="s">
        <v>9</v>
      </c>
      <c r="AP6" s="4" t="s">
        <v>10</v>
      </c>
      <c r="AQ6" s="4" t="s">
        <v>8</v>
      </c>
      <c r="AR6" s="4" t="s">
        <v>9</v>
      </c>
      <c r="AS6" s="4" t="s">
        <v>10</v>
      </c>
      <c r="AT6" s="4" t="s">
        <v>8</v>
      </c>
      <c r="AU6" s="4" t="s">
        <v>9</v>
      </c>
      <c r="AV6" s="4" t="s">
        <v>10</v>
      </c>
      <c r="AW6" s="4" t="s">
        <v>8</v>
      </c>
      <c r="AX6" s="4" t="s">
        <v>9</v>
      </c>
      <c r="AY6" s="4" t="s">
        <v>10</v>
      </c>
      <c r="AZ6" s="4" t="s">
        <v>8</v>
      </c>
      <c r="BA6" s="4" t="s">
        <v>9</v>
      </c>
      <c r="BB6" s="4" t="s">
        <v>10</v>
      </c>
      <c r="BC6" s="4" t="s">
        <v>8</v>
      </c>
      <c r="BD6" s="4" t="s">
        <v>9</v>
      </c>
      <c r="BE6" s="4" t="s">
        <v>10</v>
      </c>
      <c r="BF6" s="15" t="s">
        <v>8</v>
      </c>
      <c r="BG6" s="16" t="s">
        <v>9</v>
      </c>
      <c r="BH6" s="17" t="s">
        <v>10</v>
      </c>
      <c r="BI6" s="18" t="s">
        <v>8</v>
      </c>
      <c r="BJ6" s="16" t="s">
        <v>9</v>
      </c>
      <c r="BK6" s="17" t="s">
        <v>10</v>
      </c>
      <c r="BL6" s="15" t="s">
        <v>8</v>
      </c>
      <c r="BM6" s="16" t="s">
        <v>9</v>
      </c>
      <c r="BN6" s="17" t="s">
        <v>10</v>
      </c>
      <c r="BO6" s="15" t="s">
        <v>8</v>
      </c>
      <c r="BP6" s="16" t="s">
        <v>9</v>
      </c>
      <c r="BQ6" s="17" t="s">
        <v>10</v>
      </c>
      <c r="BR6" s="16" t="s">
        <v>8</v>
      </c>
      <c r="BS6" s="17" t="s">
        <v>9</v>
      </c>
      <c r="BT6" s="15" t="s">
        <v>8</v>
      </c>
      <c r="BU6" s="16" t="s">
        <v>9</v>
      </c>
      <c r="BV6" s="17" t="s">
        <v>10</v>
      </c>
      <c r="BW6" s="15" t="s">
        <v>8</v>
      </c>
      <c r="BX6" s="16" t="s">
        <v>9</v>
      </c>
      <c r="BY6" s="17" t="s">
        <v>10</v>
      </c>
      <c r="BZ6" s="16" t="s">
        <v>8</v>
      </c>
      <c r="CA6" s="17" t="s">
        <v>9</v>
      </c>
      <c r="CB6" s="15" t="s">
        <v>8</v>
      </c>
      <c r="CC6" s="16" t="s">
        <v>9</v>
      </c>
      <c r="CD6" s="17" t="s">
        <v>10</v>
      </c>
      <c r="CE6" s="15" t="s">
        <v>8</v>
      </c>
      <c r="CF6" s="16" t="s">
        <v>9</v>
      </c>
      <c r="CG6" s="17" t="s">
        <v>10</v>
      </c>
      <c r="CH6" s="16" t="s">
        <v>8</v>
      </c>
      <c r="CI6" s="17" t="s">
        <v>9</v>
      </c>
      <c r="CJ6" s="16" t="s">
        <v>8</v>
      </c>
      <c r="CK6" s="17" t="s">
        <v>9</v>
      </c>
      <c r="CL6" s="15" t="s">
        <v>8</v>
      </c>
      <c r="CM6" s="16" t="s">
        <v>9</v>
      </c>
      <c r="CN6" s="17" t="s">
        <v>10</v>
      </c>
      <c r="CO6" s="15" t="s">
        <v>8</v>
      </c>
      <c r="CP6" s="16" t="s">
        <v>9</v>
      </c>
      <c r="CQ6" s="17" t="s">
        <v>10</v>
      </c>
      <c r="CR6" s="16" t="s">
        <v>8</v>
      </c>
      <c r="CS6" s="17" t="s">
        <v>9</v>
      </c>
      <c r="CT6" s="16" t="s">
        <v>8</v>
      </c>
      <c r="CU6" s="17" t="s">
        <v>9</v>
      </c>
      <c r="CV6" s="15" t="s">
        <v>8</v>
      </c>
      <c r="CW6" s="16" t="s">
        <v>9</v>
      </c>
      <c r="CX6" s="17" t="s">
        <v>10</v>
      </c>
      <c r="CY6" s="15" t="s">
        <v>8</v>
      </c>
      <c r="CZ6" s="16" t="s">
        <v>9</v>
      </c>
      <c r="DA6" s="17" t="s">
        <v>10</v>
      </c>
      <c r="DB6" s="16" t="s">
        <v>8</v>
      </c>
      <c r="DC6" s="17" t="s">
        <v>9</v>
      </c>
      <c r="DD6" s="16" t="s">
        <v>8</v>
      </c>
      <c r="DE6" s="17" t="s">
        <v>9</v>
      </c>
      <c r="DF6" s="15" t="s">
        <v>8</v>
      </c>
      <c r="DG6" s="16" t="s">
        <v>9</v>
      </c>
      <c r="DH6" s="17" t="s">
        <v>10</v>
      </c>
      <c r="DI6" s="15" t="s">
        <v>8</v>
      </c>
      <c r="DJ6" s="16" t="s">
        <v>9</v>
      </c>
      <c r="DK6" s="17" t="s">
        <v>10</v>
      </c>
      <c r="DL6" s="16" t="s">
        <v>8</v>
      </c>
      <c r="DM6" s="17" t="s">
        <v>9</v>
      </c>
      <c r="DN6" s="16" t="s">
        <v>8</v>
      </c>
      <c r="DO6" s="17" t="s">
        <v>9</v>
      </c>
      <c r="DP6" s="15" t="s">
        <v>8</v>
      </c>
      <c r="DQ6" s="16" t="s">
        <v>9</v>
      </c>
      <c r="DR6" s="17" t="s">
        <v>10</v>
      </c>
      <c r="DS6" s="15" t="s">
        <v>8</v>
      </c>
      <c r="DT6" s="16" t="s">
        <v>9</v>
      </c>
      <c r="DU6" s="17" t="s">
        <v>10</v>
      </c>
      <c r="DV6" s="16" t="s">
        <v>8</v>
      </c>
      <c r="DW6" s="17" t="s">
        <v>9</v>
      </c>
      <c r="DX6" s="16" t="s">
        <v>8</v>
      </c>
      <c r="DY6" s="17" t="s">
        <v>9</v>
      </c>
      <c r="DZ6" s="15" t="s">
        <v>8</v>
      </c>
      <c r="EA6" s="16" t="s">
        <v>9</v>
      </c>
      <c r="EB6" s="17" t="s">
        <v>10</v>
      </c>
      <c r="EC6" s="15" t="s">
        <v>8</v>
      </c>
      <c r="ED6" s="16" t="s">
        <v>9</v>
      </c>
      <c r="EE6" s="17" t="s">
        <v>10</v>
      </c>
      <c r="EF6" s="16" t="s">
        <v>8</v>
      </c>
      <c r="EG6" s="17" t="s">
        <v>9</v>
      </c>
      <c r="EH6" s="16" t="s">
        <v>8</v>
      </c>
      <c r="EI6" s="17" t="s">
        <v>9</v>
      </c>
      <c r="EJ6" s="15" t="s">
        <v>8</v>
      </c>
      <c r="EK6" s="16" t="s">
        <v>9</v>
      </c>
      <c r="EL6" s="17" t="s">
        <v>10</v>
      </c>
      <c r="EM6" s="15" t="s">
        <v>8</v>
      </c>
      <c r="EN6" s="16" t="s">
        <v>9</v>
      </c>
      <c r="EO6" s="17" t="s">
        <v>10</v>
      </c>
      <c r="EP6" s="16" t="s">
        <v>8</v>
      </c>
      <c r="EQ6" s="17" t="s">
        <v>9</v>
      </c>
      <c r="ER6" s="16" t="s">
        <v>8</v>
      </c>
      <c r="ES6" s="17" t="s">
        <v>9</v>
      </c>
      <c r="ET6" s="15" t="s">
        <v>8</v>
      </c>
      <c r="EU6" s="16" t="s">
        <v>9</v>
      </c>
      <c r="EV6" s="17" t="s">
        <v>10</v>
      </c>
      <c r="EW6" s="15" t="s">
        <v>8</v>
      </c>
      <c r="EX6" s="16" t="s">
        <v>9</v>
      </c>
      <c r="EY6" s="17" t="s">
        <v>10</v>
      </c>
      <c r="EZ6" s="16" t="s">
        <v>8</v>
      </c>
      <c r="FA6" s="17" t="s">
        <v>9</v>
      </c>
      <c r="FB6" s="16" t="s">
        <v>8</v>
      </c>
      <c r="FC6" s="17" t="s">
        <v>9</v>
      </c>
      <c r="FD6" s="15" t="s">
        <v>8</v>
      </c>
      <c r="FE6" s="16" t="s">
        <v>9</v>
      </c>
      <c r="FF6" s="17" t="s">
        <v>10</v>
      </c>
      <c r="FG6" s="15" t="s">
        <v>8</v>
      </c>
      <c r="FH6" s="16" t="s">
        <v>9</v>
      </c>
      <c r="FI6" s="17" t="s">
        <v>10</v>
      </c>
      <c r="FJ6" s="16" t="s">
        <v>8</v>
      </c>
      <c r="FK6" s="17" t="s">
        <v>9</v>
      </c>
      <c r="FL6" s="16" t="s">
        <v>8</v>
      </c>
      <c r="FM6" s="17" t="s">
        <v>9</v>
      </c>
      <c r="FN6" s="15" t="s">
        <v>8</v>
      </c>
      <c r="FO6" s="16" t="s">
        <v>9</v>
      </c>
      <c r="FP6" s="17" t="s">
        <v>10</v>
      </c>
      <c r="FQ6" s="15" t="s">
        <v>8</v>
      </c>
      <c r="FR6" s="16" t="s">
        <v>9</v>
      </c>
      <c r="FS6" s="17" t="s">
        <v>10</v>
      </c>
      <c r="FT6" s="16" t="s">
        <v>8</v>
      </c>
      <c r="FU6" s="17" t="s">
        <v>9</v>
      </c>
      <c r="FV6" s="16" t="s">
        <v>8</v>
      </c>
      <c r="FW6" s="17" t="s">
        <v>9</v>
      </c>
      <c r="FX6" s="15" t="s">
        <v>8</v>
      </c>
      <c r="FY6" s="16" t="s">
        <v>9</v>
      </c>
      <c r="FZ6" s="17" t="s">
        <v>10</v>
      </c>
      <c r="GA6" s="15" t="s">
        <v>8</v>
      </c>
      <c r="GB6" s="16" t="s">
        <v>9</v>
      </c>
      <c r="GC6" s="17" t="s">
        <v>10</v>
      </c>
      <c r="GD6" s="16" t="s">
        <v>8</v>
      </c>
      <c r="GE6" s="17" t="s">
        <v>9</v>
      </c>
      <c r="GF6" s="16" t="s">
        <v>8</v>
      </c>
      <c r="GG6" s="17" t="s">
        <v>9</v>
      </c>
      <c r="GH6" s="15" t="s">
        <v>8</v>
      </c>
      <c r="GI6" s="16" t="s">
        <v>9</v>
      </c>
      <c r="GJ6" s="17" t="s">
        <v>10</v>
      </c>
      <c r="GK6" s="15" t="s">
        <v>8</v>
      </c>
      <c r="GL6" s="16" t="s">
        <v>9</v>
      </c>
      <c r="GM6" s="17" t="s">
        <v>10</v>
      </c>
      <c r="GN6" s="16" t="s">
        <v>8</v>
      </c>
      <c r="GO6" s="17" t="s">
        <v>9</v>
      </c>
      <c r="GP6" s="16" t="s">
        <v>8</v>
      </c>
      <c r="GQ6" s="17" t="s">
        <v>9</v>
      </c>
      <c r="GR6" s="15" t="s">
        <v>8</v>
      </c>
      <c r="GS6" s="16" t="s">
        <v>9</v>
      </c>
      <c r="GT6" s="17" t="s">
        <v>10</v>
      </c>
      <c r="GU6" s="15" t="s">
        <v>8</v>
      </c>
      <c r="GV6" s="16" t="s">
        <v>9</v>
      </c>
      <c r="GW6" s="17" t="s">
        <v>10</v>
      </c>
      <c r="GX6" s="16" t="s">
        <v>8</v>
      </c>
      <c r="GY6" s="17" t="s">
        <v>9</v>
      </c>
      <c r="GZ6" s="16" t="s">
        <v>8</v>
      </c>
      <c r="HA6" s="17" t="s">
        <v>9</v>
      </c>
      <c r="HB6" s="15" t="s">
        <v>8</v>
      </c>
      <c r="HC6" s="16" t="s">
        <v>9</v>
      </c>
      <c r="HD6" s="17" t="s">
        <v>10</v>
      </c>
      <c r="HE6" s="15" t="s">
        <v>8</v>
      </c>
      <c r="HF6" s="16" t="s">
        <v>9</v>
      </c>
      <c r="HG6" s="17" t="s">
        <v>10</v>
      </c>
      <c r="HH6" s="16" t="s">
        <v>8</v>
      </c>
      <c r="HI6" s="17" t="s">
        <v>9</v>
      </c>
      <c r="HJ6" s="16" t="s">
        <v>8</v>
      </c>
      <c r="HK6" s="17" t="s">
        <v>9</v>
      </c>
      <c r="HL6" s="15" t="s">
        <v>8</v>
      </c>
      <c r="HM6" s="16" t="s">
        <v>9</v>
      </c>
      <c r="HN6" s="17" t="s">
        <v>10</v>
      </c>
      <c r="HO6" s="15" t="s">
        <v>8</v>
      </c>
      <c r="HP6" s="16" t="s">
        <v>9</v>
      </c>
      <c r="HQ6" s="17" t="s">
        <v>10</v>
      </c>
      <c r="HR6" s="16" t="s">
        <v>8</v>
      </c>
      <c r="HS6" s="17" t="s">
        <v>9</v>
      </c>
      <c r="HT6" s="16" t="s">
        <v>8</v>
      </c>
      <c r="HU6" s="17" t="s">
        <v>9</v>
      </c>
      <c r="HV6" s="15" t="s">
        <v>8</v>
      </c>
      <c r="HW6" s="16" t="s">
        <v>9</v>
      </c>
      <c r="HX6" s="17" t="s">
        <v>10</v>
      </c>
      <c r="HY6" s="15" t="s">
        <v>8</v>
      </c>
      <c r="HZ6" s="16" t="s">
        <v>9</v>
      </c>
      <c r="IA6" s="17" t="s">
        <v>10</v>
      </c>
      <c r="IB6" s="16" t="s">
        <v>8</v>
      </c>
      <c r="IC6" s="17" t="s">
        <v>9</v>
      </c>
      <c r="ID6" s="16" t="s">
        <v>8</v>
      </c>
      <c r="IE6" s="17" t="s">
        <v>9</v>
      </c>
      <c r="IF6" s="15" t="s">
        <v>8</v>
      </c>
      <c r="IG6" s="16" t="s">
        <v>9</v>
      </c>
      <c r="IH6" s="17" t="s">
        <v>10</v>
      </c>
      <c r="II6" s="15" t="s">
        <v>8</v>
      </c>
      <c r="IJ6" s="16" t="s">
        <v>9</v>
      </c>
      <c r="IK6" s="17" t="s">
        <v>10</v>
      </c>
      <c r="IL6" s="16" t="s">
        <v>8</v>
      </c>
      <c r="IM6" s="17" t="s">
        <v>9</v>
      </c>
      <c r="IN6" s="16" t="s">
        <v>8</v>
      </c>
      <c r="IO6" s="17" t="s">
        <v>9</v>
      </c>
      <c r="IP6" s="15" t="s">
        <v>8</v>
      </c>
      <c r="IQ6" s="16" t="s">
        <v>9</v>
      </c>
      <c r="IR6" s="17" t="s">
        <v>10</v>
      </c>
      <c r="IS6" s="15" t="s">
        <v>8</v>
      </c>
      <c r="IT6" s="16" t="s">
        <v>9</v>
      </c>
      <c r="IU6" s="17" t="s">
        <v>10</v>
      </c>
      <c r="IV6" s="16" t="s">
        <v>8</v>
      </c>
      <c r="IW6" s="17" t="s">
        <v>9</v>
      </c>
      <c r="IX6" s="16" t="s">
        <v>8</v>
      </c>
      <c r="IY6" s="17" t="s">
        <v>9</v>
      </c>
      <c r="IZ6" s="15" t="s">
        <v>8</v>
      </c>
      <c r="JA6" s="16" t="s">
        <v>9</v>
      </c>
      <c r="JB6" s="17" t="s">
        <v>10</v>
      </c>
      <c r="JC6" s="15" t="s">
        <v>8</v>
      </c>
      <c r="JD6" s="16" t="s">
        <v>9</v>
      </c>
      <c r="JE6" s="17" t="s">
        <v>10</v>
      </c>
      <c r="JF6" s="16" t="s">
        <v>8</v>
      </c>
      <c r="JG6" s="17" t="s">
        <v>9</v>
      </c>
      <c r="JH6" s="16" t="s">
        <v>8</v>
      </c>
      <c r="JI6" s="17" t="s">
        <v>9</v>
      </c>
      <c r="JJ6" s="15" t="s">
        <v>8</v>
      </c>
      <c r="JK6" s="16" t="s">
        <v>9</v>
      </c>
      <c r="JL6" s="17" t="s">
        <v>10</v>
      </c>
      <c r="JM6" s="15" t="s">
        <v>8</v>
      </c>
      <c r="JN6" s="16" t="s">
        <v>9</v>
      </c>
      <c r="JO6" s="17" t="s">
        <v>10</v>
      </c>
      <c r="JP6" s="16" t="s">
        <v>8</v>
      </c>
      <c r="JQ6" s="17" t="s">
        <v>9</v>
      </c>
      <c r="JR6" s="16" t="s">
        <v>8</v>
      </c>
      <c r="JS6" s="17" t="s">
        <v>9</v>
      </c>
      <c r="JT6" s="15" t="s">
        <v>8</v>
      </c>
      <c r="JU6" s="16" t="s">
        <v>9</v>
      </c>
      <c r="JV6" s="17" t="s">
        <v>10</v>
      </c>
      <c r="JW6" s="15" t="s">
        <v>8</v>
      </c>
      <c r="JX6" s="16" t="s">
        <v>9</v>
      </c>
      <c r="JY6" s="17" t="s">
        <v>10</v>
      </c>
      <c r="JZ6" s="16" t="s">
        <v>8</v>
      </c>
      <c r="KA6" s="17" t="s">
        <v>9</v>
      </c>
      <c r="KB6" s="16" t="s">
        <v>8</v>
      </c>
      <c r="KC6" s="17" t="s">
        <v>9</v>
      </c>
      <c r="KD6" s="15" t="s">
        <v>8</v>
      </c>
      <c r="KE6" s="16" t="s">
        <v>9</v>
      </c>
      <c r="KF6" s="17" t="s">
        <v>10</v>
      </c>
      <c r="KG6" s="15" t="s">
        <v>8</v>
      </c>
      <c r="KH6" s="16" t="s">
        <v>9</v>
      </c>
      <c r="KI6" s="17" t="s">
        <v>10</v>
      </c>
      <c r="KJ6" s="16" t="s">
        <v>8</v>
      </c>
      <c r="KK6" s="17" t="s">
        <v>9</v>
      </c>
      <c r="KL6" s="16" t="s">
        <v>8</v>
      </c>
      <c r="KM6" s="17" t="s">
        <v>9</v>
      </c>
      <c r="KN6" s="39"/>
      <c r="KO6" s="41"/>
      <c r="KP6" s="15" t="s">
        <v>8</v>
      </c>
      <c r="KQ6" s="16" t="s">
        <v>9</v>
      </c>
      <c r="KR6" s="17" t="s">
        <v>10</v>
      </c>
      <c r="KS6" s="15" t="s">
        <v>8</v>
      </c>
      <c r="KT6" s="16" t="s">
        <v>9</v>
      </c>
      <c r="KU6" s="17" t="s">
        <v>10</v>
      </c>
      <c r="KV6" s="16" t="s">
        <v>8</v>
      </c>
      <c r="KW6" s="17" t="s">
        <v>9</v>
      </c>
      <c r="KX6" s="16" t="s">
        <v>8</v>
      </c>
      <c r="KY6" s="17" t="s">
        <v>9</v>
      </c>
      <c r="KZ6" s="15" t="s">
        <v>8</v>
      </c>
      <c r="LA6" s="16" t="s">
        <v>9</v>
      </c>
      <c r="LB6" s="17" t="s">
        <v>10</v>
      </c>
      <c r="LC6" s="15" t="s">
        <v>8</v>
      </c>
      <c r="LD6" s="16" t="s">
        <v>9</v>
      </c>
      <c r="LE6" s="17" t="s">
        <v>10</v>
      </c>
      <c r="LF6" s="16" t="s">
        <v>8</v>
      </c>
      <c r="LG6" s="17" t="s">
        <v>9</v>
      </c>
      <c r="LH6" s="16" t="s">
        <v>8</v>
      </c>
      <c r="LI6" s="17" t="s">
        <v>9</v>
      </c>
      <c r="LJ6" s="15" t="s">
        <v>8</v>
      </c>
      <c r="LK6" s="16" t="s">
        <v>9</v>
      </c>
      <c r="LL6" s="17" t="s">
        <v>10</v>
      </c>
      <c r="LM6" s="15" t="s">
        <v>8</v>
      </c>
      <c r="LN6" s="16" t="s">
        <v>9</v>
      </c>
      <c r="LO6" s="17" t="s">
        <v>10</v>
      </c>
      <c r="LP6" s="16" t="s">
        <v>8</v>
      </c>
      <c r="LQ6" s="17" t="s">
        <v>9</v>
      </c>
      <c r="LR6" s="16" t="s">
        <v>8</v>
      </c>
      <c r="LS6" s="17" t="s">
        <v>9</v>
      </c>
      <c r="LT6" s="15" t="s">
        <v>8</v>
      </c>
      <c r="LU6" s="16" t="s">
        <v>9</v>
      </c>
      <c r="LV6" s="17" t="s">
        <v>10</v>
      </c>
      <c r="LW6" s="15" t="s">
        <v>8</v>
      </c>
      <c r="LX6" s="16" t="s">
        <v>9</v>
      </c>
      <c r="LY6" s="17" t="s">
        <v>10</v>
      </c>
      <c r="LZ6" s="16" t="s">
        <v>8</v>
      </c>
      <c r="MA6" s="17" t="s">
        <v>9</v>
      </c>
      <c r="MB6" s="15" t="s">
        <v>8</v>
      </c>
      <c r="MC6" s="17" t="s">
        <v>9</v>
      </c>
    </row>
    <row r="7" spans="2:341" ht="51.75" customHeight="1" x14ac:dyDescent="0.25">
      <c r="B7" s="36" t="s">
        <v>5</v>
      </c>
      <c r="C7" s="37"/>
      <c r="D7" s="3">
        <f>SUM(D8)</f>
        <v>228</v>
      </c>
      <c r="E7" s="3">
        <f t="shared" ref="E7:CA7" si="0">SUM(E8)</f>
        <v>285</v>
      </c>
      <c r="F7" s="3">
        <f t="shared" si="0"/>
        <v>38</v>
      </c>
      <c r="G7" s="3">
        <f t="shared" si="0"/>
        <v>112</v>
      </c>
      <c r="H7" s="3">
        <f t="shared" si="0"/>
        <v>137</v>
      </c>
      <c r="I7" s="3">
        <f t="shared" si="0"/>
        <v>20</v>
      </c>
      <c r="J7" s="3">
        <f t="shared" si="0"/>
        <v>116</v>
      </c>
      <c r="K7" s="3">
        <f t="shared" si="0"/>
        <v>148</v>
      </c>
      <c r="L7" s="3">
        <f t="shared" si="0"/>
        <v>18</v>
      </c>
      <c r="M7" s="3">
        <f>SUM(M8)</f>
        <v>233</v>
      </c>
      <c r="N7" s="3">
        <f t="shared" si="0"/>
        <v>297</v>
      </c>
      <c r="O7" s="3">
        <f t="shared" si="0"/>
        <v>27</v>
      </c>
      <c r="P7" s="3">
        <f t="shared" si="0"/>
        <v>116</v>
      </c>
      <c r="Q7" s="3">
        <f t="shared" si="0"/>
        <v>144</v>
      </c>
      <c r="R7" s="3">
        <f t="shared" si="0"/>
        <v>15</v>
      </c>
      <c r="S7" s="3">
        <f t="shared" si="0"/>
        <v>117</v>
      </c>
      <c r="T7" s="3">
        <f t="shared" si="0"/>
        <v>153</v>
      </c>
      <c r="U7" s="3">
        <f t="shared" si="0"/>
        <v>12</v>
      </c>
      <c r="V7" s="3">
        <f>SUM(V8)</f>
        <v>225</v>
      </c>
      <c r="W7" s="3">
        <f t="shared" si="0"/>
        <v>279</v>
      </c>
      <c r="X7" s="3">
        <f t="shared" si="0"/>
        <v>13</v>
      </c>
      <c r="Y7" s="3">
        <f t="shared" si="0"/>
        <v>111</v>
      </c>
      <c r="Z7" s="3">
        <f t="shared" si="0"/>
        <v>136</v>
      </c>
      <c r="AA7" s="3">
        <f t="shared" si="0"/>
        <v>13</v>
      </c>
      <c r="AB7" s="3">
        <f t="shared" si="0"/>
        <v>114</v>
      </c>
      <c r="AC7" s="3">
        <f t="shared" si="0"/>
        <v>143</v>
      </c>
      <c r="AD7" s="3">
        <f t="shared" si="0"/>
        <v>0</v>
      </c>
      <c r="AE7" s="3">
        <f>SUM(AE8)</f>
        <v>230</v>
      </c>
      <c r="AF7" s="3">
        <f t="shared" si="0"/>
        <v>293</v>
      </c>
      <c r="AG7" s="3">
        <f t="shared" si="0"/>
        <v>17</v>
      </c>
      <c r="AH7" s="3">
        <f t="shared" si="0"/>
        <v>115</v>
      </c>
      <c r="AI7" s="3">
        <f t="shared" si="0"/>
        <v>161</v>
      </c>
      <c r="AJ7" s="3">
        <f t="shared" si="0"/>
        <v>17</v>
      </c>
      <c r="AK7" s="3">
        <f t="shared" si="0"/>
        <v>115</v>
      </c>
      <c r="AL7" s="3">
        <f t="shared" si="0"/>
        <v>132</v>
      </c>
      <c r="AM7" s="3">
        <f t="shared" si="0"/>
        <v>0</v>
      </c>
      <c r="AN7" s="3">
        <f>SUM(AN8)</f>
        <v>232</v>
      </c>
      <c r="AO7" s="3">
        <f t="shared" si="0"/>
        <v>272</v>
      </c>
      <c r="AP7" s="3">
        <f t="shared" si="0"/>
        <v>12</v>
      </c>
      <c r="AQ7" s="3">
        <f t="shared" si="0"/>
        <v>115</v>
      </c>
      <c r="AR7" s="3">
        <f t="shared" si="0"/>
        <v>147</v>
      </c>
      <c r="AS7" s="3">
        <f t="shared" si="0"/>
        <v>6</v>
      </c>
      <c r="AT7" s="3">
        <f t="shared" si="0"/>
        <v>117</v>
      </c>
      <c r="AU7" s="3">
        <f t="shared" si="0"/>
        <v>125</v>
      </c>
      <c r="AV7" s="3">
        <f t="shared" si="0"/>
        <v>6</v>
      </c>
      <c r="AW7" s="3">
        <f>SUM(AW8)</f>
        <v>112</v>
      </c>
      <c r="AX7" s="3">
        <f t="shared" si="0"/>
        <v>114</v>
      </c>
      <c r="AY7" s="3">
        <f t="shared" si="0"/>
        <v>0</v>
      </c>
      <c r="AZ7" s="3">
        <f t="shared" si="0"/>
        <v>112</v>
      </c>
      <c r="BA7" s="3">
        <f t="shared" si="0"/>
        <v>114</v>
      </c>
      <c r="BB7" s="3">
        <f t="shared" si="0"/>
        <v>0</v>
      </c>
      <c r="BC7" s="3">
        <f t="shared" si="0"/>
        <v>0</v>
      </c>
      <c r="BD7" s="3">
        <f t="shared" si="0"/>
        <v>0</v>
      </c>
      <c r="BE7" s="3">
        <f t="shared" si="0"/>
        <v>0</v>
      </c>
      <c r="BF7" s="9">
        <f t="shared" si="0"/>
        <v>249</v>
      </c>
      <c r="BG7" s="10">
        <f t="shared" si="0"/>
        <v>360</v>
      </c>
      <c r="BH7" s="11">
        <f t="shared" si="0"/>
        <v>26</v>
      </c>
      <c r="BI7" s="19">
        <f>SUM(BI8)</f>
        <v>227</v>
      </c>
      <c r="BJ7" s="10">
        <f t="shared" si="0"/>
        <v>240</v>
      </c>
      <c r="BK7" s="11">
        <f t="shared" si="0"/>
        <v>12</v>
      </c>
      <c r="BL7" s="9">
        <f t="shared" si="0"/>
        <v>125</v>
      </c>
      <c r="BM7" s="10">
        <f t="shared" si="0"/>
        <v>182</v>
      </c>
      <c r="BN7" s="11">
        <f t="shared" si="0"/>
        <v>12</v>
      </c>
      <c r="BO7" s="9">
        <f t="shared" si="0"/>
        <v>110</v>
      </c>
      <c r="BP7" s="10">
        <f t="shared" si="0"/>
        <v>100</v>
      </c>
      <c r="BQ7" s="11">
        <f t="shared" si="0"/>
        <v>12</v>
      </c>
      <c r="BR7" s="10">
        <f t="shared" si="0"/>
        <v>15</v>
      </c>
      <c r="BS7" s="11">
        <f t="shared" si="0"/>
        <v>82</v>
      </c>
      <c r="BT7" s="9">
        <f t="shared" si="0"/>
        <v>124</v>
      </c>
      <c r="BU7" s="10">
        <f t="shared" si="0"/>
        <v>178</v>
      </c>
      <c r="BV7" s="11">
        <f t="shared" si="0"/>
        <v>14</v>
      </c>
      <c r="BW7" s="9">
        <f t="shared" si="0"/>
        <v>117</v>
      </c>
      <c r="BX7" s="10">
        <f t="shared" si="0"/>
        <v>140</v>
      </c>
      <c r="BY7" s="11">
        <f t="shared" si="0"/>
        <v>0</v>
      </c>
      <c r="BZ7" s="10">
        <f t="shared" si="0"/>
        <v>7</v>
      </c>
      <c r="CA7" s="11">
        <f t="shared" si="0"/>
        <v>38</v>
      </c>
      <c r="CB7" s="9">
        <f t="shared" ref="CB7:CS7" si="1">SUM(CB8)</f>
        <v>125</v>
      </c>
      <c r="CC7" s="10">
        <f t="shared" si="1"/>
        <v>140</v>
      </c>
      <c r="CD7" s="11">
        <f t="shared" si="1"/>
        <v>5</v>
      </c>
      <c r="CE7" s="9">
        <f t="shared" si="1"/>
        <v>116</v>
      </c>
      <c r="CF7" s="10">
        <f t="shared" si="1"/>
        <v>104</v>
      </c>
      <c r="CG7" s="11">
        <f t="shared" si="1"/>
        <v>5</v>
      </c>
      <c r="CH7" s="10">
        <f t="shared" si="1"/>
        <v>9</v>
      </c>
      <c r="CI7" s="11">
        <f t="shared" si="1"/>
        <v>36</v>
      </c>
      <c r="CJ7" s="24">
        <f>+CE7/CB7</f>
        <v>0.92800000000000005</v>
      </c>
      <c r="CK7" s="25">
        <f>+CF7/CC7</f>
        <v>0.74285714285714288</v>
      </c>
      <c r="CL7" s="9">
        <f t="shared" si="1"/>
        <v>124</v>
      </c>
      <c r="CM7" s="10">
        <f t="shared" si="1"/>
        <v>161</v>
      </c>
      <c r="CN7" s="11">
        <f t="shared" si="1"/>
        <v>15</v>
      </c>
      <c r="CO7" s="9">
        <f t="shared" si="1"/>
        <v>119</v>
      </c>
      <c r="CP7" s="10">
        <f t="shared" si="1"/>
        <v>117</v>
      </c>
      <c r="CQ7" s="11">
        <f t="shared" si="1"/>
        <v>15</v>
      </c>
      <c r="CR7" s="10">
        <f t="shared" si="1"/>
        <v>5</v>
      </c>
      <c r="CS7" s="11">
        <f t="shared" si="1"/>
        <v>44</v>
      </c>
      <c r="CT7" s="24">
        <f>+CO7/CL7</f>
        <v>0.95967741935483875</v>
      </c>
      <c r="CU7" s="25">
        <f>+CP7/CM7</f>
        <v>0.72670807453416153</v>
      </c>
      <c r="CV7" s="9">
        <f t="shared" ref="CV7:DM7" si="2">SUM(CV8)</f>
        <v>124</v>
      </c>
      <c r="CW7" s="10">
        <f t="shared" si="2"/>
        <v>147</v>
      </c>
      <c r="CX7" s="11">
        <f t="shared" si="2"/>
        <v>9</v>
      </c>
      <c r="CY7" s="9">
        <f t="shared" si="2"/>
        <v>115</v>
      </c>
      <c r="CZ7" s="10">
        <f t="shared" si="2"/>
        <v>105</v>
      </c>
      <c r="DA7" s="11">
        <f t="shared" si="2"/>
        <v>9</v>
      </c>
      <c r="DB7" s="10">
        <f t="shared" si="2"/>
        <v>9</v>
      </c>
      <c r="DC7" s="11">
        <f t="shared" si="2"/>
        <v>42</v>
      </c>
      <c r="DD7" s="24">
        <f>+CY7/CV7</f>
        <v>0.92741935483870963</v>
      </c>
      <c r="DE7" s="25">
        <f>+CZ7/CW7</f>
        <v>0.7142857142857143</v>
      </c>
      <c r="DF7" s="9">
        <f t="shared" si="2"/>
        <v>124</v>
      </c>
      <c r="DG7" s="10">
        <f t="shared" si="2"/>
        <v>172</v>
      </c>
      <c r="DH7" s="11">
        <f t="shared" si="2"/>
        <v>19</v>
      </c>
      <c r="DI7" s="9">
        <f t="shared" si="2"/>
        <v>120</v>
      </c>
      <c r="DJ7" s="10">
        <f t="shared" si="2"/>
        <v>123</v>
      </c>
      <c r="DK7" s="11">
        <f t="shared" si="2"/>
        <v>19</v>
      </c>
      <c r="DL7" s="10">
        <f t="shared" si="2"/>
        <v>4</v>
      </c>
      <c r="DM7" s="11">
        <f t="shared" si="2"/>
        <v>49</v>
      </c>
      <c r="DN7" s="24">
        <f>+DI7/DF7</f>
        <v>0.967741935483871</v>
      </c>
      <c r="DO7" s="25">
        <f>+DJ7/DG7</f>
        <v>0.71511627906976749</v>
      </c>
      <c r="DP7" s="9">
        <f t="shared" ref="DP7:EG7" si="3">SUM(DP8)</f>
        <v>124</v>
      </c>
      <c r="DQ7" s="10">
        <f t="shared" si="3"/>
        <v>141</v>
      </c>
      <c r="DR7" s="11">
        <f t="shared" si="3"/>
        <v>6</v>
      </c>
      <c r="DS7" s="9">
        <f t="shared" si="3"/>
        <v>115</v>
      </c>
      <c r="DT7" s="10">
        <f t="shared" si="3"/>
        <v>100</v>
      </c>
      <c r="DU7" s="11">
        <f t="shared" si="3"/>
        <v>6</v>
      </c>
      <c r="DV7" s="10">
        <f t="shared" si="3"/>
        <v>9</v>
      </c>
      <c r="DW7" s="11">
        <f t="shared" si="3"/>
        <v>41</v>
      </c>
      <c r="DX7" s="24">
        <f>+DS7/DP7</f>
        <v>0.92741935483870963</v>
      </c>
      <c r="DY7" s="25">
        <f>+DT7/DQ7</f>
        <v>0.70921985815602839</v>
      </c>
      <c r="DZ7" s="9">
        <f t="shared" si="3"/>
        <v>124</v>
      </c>
      <c r="EA7" s="10">
        <f t="shared" si="3"/>
        <v>181</v>
      </c>
      <c r="EB7" s="11">
        <f t="shared" si="3"/>
        <v>21</v>
      </c>
      <c r="EC7" s="9">
        <f t="shared" si="3"/>
        <v>121</v>
      </c>
      <c r="ED7" s="10">
        <f t="shared" si="3"/>
        <v>118</v>
      </c>
      <c r="EE7" s="11">
        <f t="shared" si="3"/>
        <v>21</v>
      </c>
      <c r="EF7" s="10">
        <f t="shared" si="3"/>
        <v>3</v>
      </c>
      <c r="EG7" s="11">
        <f t="shared" si="3"/>
        <v>63</v>
      </c>
      <c r="EH7" s="24">
        <f>+EC7/DZ7</f>
        <v>0.97580645161290325</v>
      </c>
      <c r="EI7" s="25">
        <f>+ED7/EA7</f>
        <v>0.65193370165745856</v>
      </c>
      <c r="EJ7" s="9">
        <f t="shared" ref="EJ7:FA7" si="4">SUM(EJ8)</f>
        <v>124</v>
      </c>
      <c r="EK7" s="10">
        <f t="shared" si="4"/>
        <v>136</v>
      </c>
      <c r="EL7" s="11">
        <f t="shared" si="4"/>
        <v>10</v>
      </c>
      <c r="EM7" s="9">
        <f t="shared" si="4"/>
        <v>115</v>
      </c>
      <c r="EN7" s="10">
        <f t="shared" si="4"/>
        <v>101</v>
      </c>
      <c r="EO7" s="11">
        <f t="shared" si="4"/>
        <v>10</v>
      </c>
      <c r="EP7" s="10">
        <f t="shared" si="4"/>
        <v>9</v>
      </c>
      <c r="EQ7" s="11">
        <f t="shared" si="4"/>
        <v>35</v>
      </c>
      <c r="ER7" s="24">
        <f>+EM7/EJ7</f>
        <v>0.92741935483870963</v>
      </c>
      <c r="ES7" s="25">
        <f>+EN7/EK7</f>
        <v>0.74264705882352944</v>
      </c>
      <c r="ET7" s="9">
        <f t="shared" si="4"/>
        <v>124</v>
      </c>
      <c r="EU7" s="10">
        <f t="shared" si="4"/>
        <v>227</v>
      </c>
      <c r="EV7" s="11">
        <f t="shared" si="4"/>
        <v>61</v>
      </c>
      <c r="EW7" s="9">
        <f t="shared" si="4"/>
        <v>120</v>
      </c>
      <c r="EX7" s="10">
        <f t="shared" si="4"/>
        <v>153</v>
      </c>
      <c r="EY7" s="11">
        <f t="shared" si="4"/>
        <v>61</v>
      </c>
      <c r="EZ7" s="10">
        <f t="shared" si="4"/>
        <v>4</v>
      </c>
      <c r="FA7" s="11">
        <f t="shared" si="4"/>
        <v>74</v>
      </c>
      <c r="FB7" s="24">
        <f>+EW7/ET7</f>
        <v>0.967741935483871</v>
      </c>
      <c r="FC7" s="25">
        <f>+EX7/EU7</f>
        <v>0.67400881057268724</v>
      </c>
      <c r="FD7" s="9">
        <f t="shared" ref="FD7:FU7" si="5">SUM(FD8)</f>
        <v>122</v>
      </c>
      <c r="FE7" s="10">
        <f t="shared" si="5"/>
        <v>135</v>
      </c>
      <c r="FF7" s="11">
        <f t="shared" si="5"/>
        <v>7</v>
      </c>
      <c r="FG7" s="9">
        <f t="shared" si="5"/>
        <v>112</v>
      </c>
      <c r="FH7" s="10">
        <f t="shared" si="5"/>
        <v>86</v>
      </c>
      <c r="FI7" s="11">
        <f t="shared" si="5"/>
        <v>7</v>
      </c>
      <c r="FJ7" s="10">
        <f t="shared" si="5"/>
        <v>10</v>
      </c>
      <c r="FK7" s="11">
        <f t="shared" si="5"/>
        <v>49</v>
      </c>
      <c r="FL7" s="24">
        <f>+FG7/FD7</f>
        <v>0.91803278688524592</v>
      </c>
      <c r="FM7" s="25">
        <f>+FH7/FE7</f>
        <v>0.63703703703703707</v>
      </c>
      <c r="FN7" s="9">
        <f t="shared" si="5"/>
        <v>124</v>
      </c>
      <c r="FO7" s="10">
        <f t="shared" si="5"/>
        <v>240</v>
      </c>
      <c r="FP7" s="11">
        <f t="shared" si="5"/>
        <v>13</v>
      </c>
      <c r="FQ7" s="9">
        <f t="shared" si="5"/>
        <v>113</v>
      </c>
      <c r="FR7" s="10">
        <f t="shared" si="5"/>
        <v>161</v>
      </c>
      <c r="FS7" s="11">
        <f t="shared" si="5"/>
        <v>13</v>
      </c>
      <c r="FT7" s="10">
        <f t="shared" si="5"/>
        <v>11</v>
      </c>
      <c r="FU7" s="11">
        <f t="shared" si="5"/>
        <v>79</v>
      </c>
      <c r="FV7" s="24">
        <f>+FQ7/FN7</f>
        <v>0.91129032258064513</v>
      </c>
      <c r="FW7" s="25">
        <f>+FR7/FO7</f>
        <v>0.67083333333333328</v>
      </c>
      <c r="FX7" s="9">
        <f t="shared" ref="FX7:GO7" si="6">SUM(FX8)</f>
        <v>122</v>
      </c>
      <c r="FY7" s="10">
        <f t="shared" si="6"/>
        <v>146</v>
      </c>
      <c r="FZ7" s="11">
        <f t="shared" si="6"/>
        <v>21</v>
      </c>
      <c r="GA7" s="9">
        <f t="shared" si="6"/>
        <v>117</v>
      </c>
      <c r="GB7" s="10">
        <f t="shared" si="6"/>
        <v>100</v>
      </c>
      <c r="GC7" s="11">
        <f t="shared" si="6"/>
        <v>21</v>
      </c>
      <c r="GD7" s="10">
        <f t="shared" si="6"/>
        <v>5</v>
      </c>
      <c r="GE7" s="11">
        <f t="shared" si="6"/>
        <v>46</v>
      </c>
      <c r="GF7" s="24">
        <f>+GA7/FX7</f>
        <v>0.95901639344262291</v>
      </c>
      <c r="GG7" s="25">
        <f>+GB7/FY7</f>
        <v>0.68493150684931503</v>
      </c>
      <c r="GH7" s="9">
        <f t="shared" si="6"/>
        <v>124</v>
      </c>
      <c r="GI7" s="10">
        <f t="shared" si="6"/>
        <v>244</v>
      </c>
      <c r="GJ7" s="11">
        <f t="shared" si="6"/>
        <v>46</v>
      </c>
      <c r="GK7" s="9">
        <f t="shared" si="6"/>
        <v>118</v>
      </c>
      <c r="GL7" s="10">
        <f t="shared" si="6"/>
        <v>178</v>
      </c>
      <c r="GM7" s="11">
        <f t="shared" si="6"/>
        <v>46</v>
      </c>
      <c r="GN7" s="10">
        <f t="shared" si="6"/>
        <v>6</v>
      </c>
      <c r="GO7" s="11">
        <f t="shared" si="6"/>
        <v>66</v>
      </c>
      <c r="GP7" s="24">
        <f>+GK7/GH7</f>
        <v>0.95161290322580649</v>
      </c>
      <c r="GQ7" s="25">
        <f>+GL7/GI7</f>
        <v>0.72950819672131151</v>
      </c>
      <c r="GR7" s="9">
        <f t="shared" ref="GR7:HI7" si="7">SUM(GR8)</f>
        <v>122</v>
      </c>
      <c r="GS7" s="10">
        <f t="shared" si="7"/>
        <v>142</v>
      </c>
      <c r="GT7" s="11">
        <f t="shared" si="7"/>
        <v>7</v>
      </c>
      <c r="GU7" s="9">
        <f t="shared" si="7"/>
        <v>116</v>
      </c>
      <c r="GV7" s="10">
        <f t="shared" si="7"/>
        <v>105</v>
      </c>
      <c r="GW7" s="11">
        <f t="shared" si="7"/>
        <v>7</v>
      </c>
      <c r="GX7" s="10">
        <f t="shared" si="7"/>
        <v>6</v>
      </c>
      <c r="GY7" s="11">
        <f t="shared" si="7"/>
        <v>37</v>
      </c>
      <c r="GZ7" s="24">
        <f>+GU7/GR7</f>
        <v>0.95081967213114749</v>
      </c>
      <c r="HA7" s="25">
        <f>+GV7/GS7</f>
        <v>0.73943661971830987</v>
      </c>
      <c r="HB7" s="9">
        <f t="shared" si="7"/>
        <v>124</v>
      </c>
      <c r="HC7" s="10">
        <f t="shared" si="7"/>
        <v>206</v>
      </c>
      <c r="HD7" s="11">
        <f t="shared" si="7"/>
        <v>10</v>
      </c>
      <c r="HE7" s="9">
        <f t="shared" si="7"/>
        <v>121</v>
      </c>
      <c r="HF7" s="10">
        <f t="shared" si="7"/>
        <v>160</v>
      </c>
      <c r="HG7" s="11">
        <f t="shared" si="7"/>
        <v>10</v>
      </c>
      <c r="HH7" s="10">
        <f t="shared" si="7"/>
        <v>3</v>
      </c>
      <c r="HI7" s="11">
        <f t="shared" si="7"/>
        <v>46</v>
      </c>
      <c r="HJ7" s="24">
        <f>+HE7/HB7</f>
        <v>0.97580645161290325</v>
      </c>
      <c r="HK7" s="25">
        <f>+HF7/HC7</f>
        <v>0.77669902912621358</v>
      </c>
      <c r="HL7" s="9">
        <f t="shared" ref="HL7:IC7" si="8">SUM(HL8)</f>
        <v>122</v>
      </c>
      <c r="HM7" s="10">
        <f t="shared" si="8"/>
        <v>128</v>
      </c>
      <c r="HN7" s="11">
        <f t="shared" si="8"/>
        <v>6</v>
      </c>
      <c r="HO7" s="9">
        <f t="shared" si="8"/>
        <v>116</v>
      </c>
      <c r="HP7" s="10">
        <f t="shared" si="8"/>
        <v>105</v>
      </c>
      <c r="HQ7" s="11">
        <f t="shared" si="8"/>
        <v>6</v>
      </c>
      <c r="HR7" s="10">
        <f t="shared" si="8"/>
        <v>6</v>
      </c>
      <c r="HS7" s="11">
        <f t="shared" si="8"/>
        <v>23</v>
      </c>
      <c r="HT7" s="24">
        <f>+HO7/HL7</f>
        <v>0.95081967213114749</v>
      </c>
      <c r="HU7" s="25">
        <f>+HP7/HM7</f>
        <v>0.8203125</v>
      </c>
      <c r="HV7" s="9">
        <f t="shared" si="8"/>
        <v>124</v>
      </c>
      <c r="HW7" s="10">
        <f t="shared" si="8"/>
        <v>213</v>
      </c>
      <c r="HX7" s="11">
        <f t="shared" si="8"/>
        <v>7</v>
      </c>
      <c r="HY7" s="9">
        <f t="shared" si="8"/>
        <v>117</v>
      </c>
      <c r="HZ7" s="10">
        <f t="shared" si="8"/>
        <v>142</v>
      </c>
      <c r="IA7" s="11">
        <f t="shared" si="8"/>
        <v>7</v>
      </c>
      <c r="IB7" s="10">
        <f t="shared" si="8"/>
        <v>7</v>
      </c>
      <c r="IC7" s="11">
        <f t="shared" si="8"/>
        <v>71</v>
      </c>
      <c r="ID7" s="24">
        <f>+HY7/HV7</f>
        <v>0.94354838709677424</v>
      </c>
      <c r="IE7" s="25">
        <f>+HZ7/HW7</f>
        <v>0.66666666666666663</v>
      </c>
      <c r="IF7" s="9">
        <f t="shared" ref="IF7:IW7" si="9">SUM(IF8)</f>
        <v>122</v>
      </c>
      <c r="IG7" s="10">
        <f t="shared" si="9"/>
        <v>123</v>
      </c>
      <c r="IH7" s="11">
        <f t="shared" si="9"/>
        <v>3</v>
      </c>
      <c r="II7" s="9">
        <f t="shared" si="9"/>
        <v>114</v>
      </c>
      <c r="IJ7" s="10">
        <f t="shared" si="9"/>
        <v>92</v>
      </c>
      <c r="IK7" s="11">
        <f t="shared" si="9"/>
        <v>3</v>
      </c>
      <c r="IL7" s="10">
        <f t="shared" si="9"/>
        <v>8</v>
      </c>
      <c r="IM7" s="11">
        <f t="shared" si="9"/>
        <v>31</v>
      </c>
      <c r="IN7" s="24">
        <f>+II7/IF7</f>
        <v>0.93442622950819676</v>
      </c>
      <c r="IO7" s="25">
        <f>+IJ7/IG7</f>
        <v>0.74796747967479671</v>
      </c>
      <c r="IP7" s="9">
        <f t="shared" si="9"/>
        <v>124</v>
      </c>
      <c r="IQ7" s="10">
        <f t="shared" si="9"/>
        <v>190</v>
      </c>
      <c r="IR7" s="11">
        <f t="shared" si="9"/>
        <v>4</v>
      </c>
      <c r="IS7" s="9">
        <f t="shared" si="9"/>
        <v>118</v>
      </c>
      <c r="IT7" s="10">
        <f t="shared" si="9"/>
        <v>134</v>
      </c>
      <c r="IU7" s="11">
        <f t="shared" si="9"/>
        <v>4</v>
      </c>
      <c r="IV7" s="10">
        <f t="shared" si="9"/>
        <v>6</v>
      </c>
      <c r="IW7" s="11">
        <f t="shared" si="9"/>
        <v>56</v>
      </c>
      <c r="IX7" s="24">
        <f>+IS7/IP7</f>
        <v>0.95161290322580649</v>
      </c>
      <c r="IY7" s="25">
        <f>+IT7/IQ7</f>
        <v>0.70526315789473681</v>
      </c>
      <c r="IZ7" s="9">
        <f t="shared" ref="IZ7:JQ7" si="10">SUM(IZ8)</f>
        <v>122</v>
      </c>
      <c r="JA7" s="10">
        <f t="shared" si="10"/>
        <v>125</v>
      </c>
      <c r="JB7" s="11">
        <f t="shared" si="10"/>
        <v>2</v>
      </c>
      <c r="JC7" s="9">
        <f t="shared" si="10"/>
        <v>106</v>
      </c>
      <c r="JD7" s="10">
        <f t="shared" si="10"/>
        <v>100</v>
      </c>
      <c r="JE7" s="11">
        <f t="shared" si="10"/>
        <v>2</v>
      </c>
      <c r="JF7" s="10">
        <f t="shared" si="10"/>
        <v>16</v>
      </c>
      <c r="JG7" s="11">
        <f t="shared" si="10"/>
        <v>25</v>
      </c>
      <c r="JH7" s="24">
        <f>+JC7/IZ7</f>
        <v>0.86885245901639341</v>
      </c>
      <c r="JI7" s="25">
        <f>+JD7/JA7</f>
        <v>0.8</v>
      </c>
      <c r="JJ7" s="9">
        <f t="shared" si="10"/>
        <v>124</v>
      </c>
      <c r="JK7" s="10">
        <f t="shared" si="10"/>
        <v>219</v>
      </c>
      <c r="JL7" s="11">
        <f t="shared" si="10"/>
        <v>29</v>
      </c>
      <c r="JM7" s="9">
        <f t="shared" si="10"/>
        <v>118</v>
      </c>
      <c r="JN7" s="10">
        <f t="shared" si="10"/>
        <v>162</v>
      </c>
      <c r="JO7" s="11">
        <f t="shared" si="10"/>
        <v>29</v>
      </c>
      <c r="JP7" s="10">
        <f t="shared" si="10"/>
        <v>6</v>
      </c>
      <c r="JQ7" s="11">
        <f t="shared" si="10"/>
        <v>57</v>
      </c>
      <c r="JR7" s="24">
        <f>+JM7/JJ7</f>
        <v>0.95161290322580649</v>
      </c>
      <c r="JS7" s="25">
        <f>+JN7/JK7</f>
        <v>0.73972602739726023</v>
      </c>
      <c r="JT7" s="9">
        <f t="shared" ref="JT7:KK7" si="11">SUM(JT8)</f>
        <v>122</v>
      </c>
      <c r="JU7" s="10">
        <f t="shared" si="11"/>
        <v>123</v>
      </c>
      <c r="JV7" s="11">
        <f t="shared" si="11"/>
        <v>3</v>
      </c>
      <c r="JW7" s="9">
        <f t="shared" si="11"/>
        <v>112</v>
      </c>
      <c r="JX7" s="10">
        <f t="shared" si="11"/>
        <v>86</v>
      </c>
      <c r="JY7" s="11">
        <f t="shared" si="11"/>
        <v>3</v>
      </c>
      <c r="JZ7" s="10">
        <f t="shared" si="11"/>
        <v>10</v>
      </c>
      <c r="KA7" s="11">
        <f t="shared" si="11"/>
        <v>37</v>
      </c>
      <c r="KB7" s="24">
        <f>+JW7/JT7</f>
        <v>0.91803278688524592</v>
      </c>
      <c r="KC7" s="25">
        <f>+JX7/JU7</f>
        <v>0.69918699186991873</v>
      </c>
      <c r="KD7" s="9">
        <f t="shared" si="11"/>
        <v>124</v>
      </c>
      <c r="KE7" s="10">
        <f t="shared" si="11"/>
        <v>197</v>
      </c>
      <c r="KF7" s="11">
        <f t="shared" si="11"/>
        <v>2</v>
      </c>
      <c r="KG7" s="9">
        <f t="shared" si="11"/>
        <v>112</v>
      </c>
      <c r="KH7" s="10">
        <f t="shared" si="11"/>
        <v>126</v>
      </c>
      <c r="KI7" s="11">
        <f t="shared" si="11"/>
        <v>2</v>
      </c>
      <c r="KJ7" s="10">
        <f t="shared" si="11"/>
        <v>12</v>
      </c>
      <c r="KK7" s="11">
        <f t="shared" si="11"/>
        <v>71</v>
      </c>
      <c r="KL7" s="24">
        <f>+KG7/KD7</f>
        <v>0.90322580645161288</v>
      </c>
      <c r="KM7" s="25">
        <f>+KH7/KE7</f>
        <v>0.63959390862944165</v>
      </c>
      <c r="KN7" s="36" t="s">
        <v>5</v>
      </c>
      <c r="KO7" s="37"/>
      <c r="KP7" s="9">
        <f t="shared" ref="KP7:LG7" si="12">SUM(KP8)</f>
        <v>121</v>
      </c>
      <c r="KQ7" s="10">
        <f t="shared" si="12"/>
        <v>161</v>
      </c>
      <c r="KR7" s="11">
        <f t="shared" si="12"/>
        <v>38</v>
      </c>
      <c r="KS7" s="9">
        <f t="shared" si="12"/>
        <v>115</v>
      </c>
      <c r="KT7" s="10">
        <f t="shared" si="12"/>
        <v>123</v>
      </c>
      <c r="KU7" s="11">
        <f t="shared" si="12"/>
        <v>26</v>
      </c>
      <c r="KV7" s="10">
        <f t="shared" si="12"/>
        <v>6</v>
      </c>
      <c r="KW7" s="11">
        <f t="shared" si="12"/>
        <v>38</v>
      </c>
      <c r="KX7" s="24">
        <f>+KS7/KP7</f>
        <v>0.95041322314049592</v>
      </c>
      <c r="KY7" s="25">
        <f>+KT7/KQ7</f>
        <v>0.7639751552795031</v>
      </c>
      <c r="KZ7" s="9">
        <f t="shared" si="12"/>
        <v>118</v>
      </c>
      <c r="LA7" s="10">
        <f t="shared" si="12"/>
        <v>195</v>
      </c>
      <c r="LB7" s="11">
        <f t="shared" si="12"/>
        <v>27</v>
      </c>
      <c r="LC7" s="9">
        <f t="shared" si="12"/>
        <v>114</v>
      </c>
      <c r="LD7" s="10">
        <f t="shared" si="12"/>
        <v>125</v>
      </c>
      <c r="LE7" s="11">
        <f t="shared" si="12"/>
        <v>27</v>
      </c>
      <c r="LF7" s="10">
        <f t="shared" si="12"/>
        <v>4</v>
      </c>
      <c r="LG7" s="11">
        <f t="shared" si="12"/>
        <v>70</v>
      </c>
      <c r="LH7" s="24">
        <f>+LC7/KZ7</f>
        <v>0.96610169491525422</v>
      </c>
      <c r="LI7" s="25">
        <f>+LD7/LA7</f>
        <v>0.64102564102564108</v>
      </c>
      <c r="LJ7" s="9">
        <f t="shared" ref="LJ7:MA7" si="13">SUM(LJ8)</f>
        <v>0</v>
      </c>
      <c r="LK7" s="10">
        <f t="shared" si="13"/>
        <v>0</v>
      </c>
      <c r="LL7" s="11">
        <f t="shared" si="13"/>
        <v>0</v>
      </c>
      <c r="LM7" s="9">
        <f t="shared" si="13"/>
        <v>0</v>
      </c>
      <c r="LN7" s="10">
        <f t="shared" si="13"/>
        <v>0</v>
      </c>
      <c r="LO7" s="11">
        <f t="shared" si="13"/>
        <v>0</v>
      </c>
      <c r="LP7" s="10">
        <f t="shared" si="13"/>
        <v>0</v>
      </c>
      <c r="LQ7" s="11">
        <f t="shared" si="13"/>
        <v>0</v>
      </c>
      <c r="LR7" s="55">
        <f>IFERROR(LM7/LJ7,0)</f>
        <v>0</v>
      </c>
      <c r="LS7" s="54">
        <f>IFERROR(LN7/LK7,0)</f>
        <v>0</v>
      </c>
      <c r="LT7" s="9">
        <f t="shared" si="13"/>
        <v>0</v>
      </c>
      <c r="LU7" s="10">
        <f t="shared" si="13"/>
        <v>0</v>
      </c>
      <c r="LV7" s="11">
        <f t="shared" si="13"/>
        <v>0</v>
      </c>
      <c r="LW7" s="9">
        <f t="shared" si="13"/>
        <v>0</v>
      </c>
      <c r="LX7" s="10">
        <f t="shared" si="13"/>
        <v>0</v>
      </c>
      <c r="LY7" s="11">
        <f t="shared" si="13"/>
        <v>0</v>
      </c>
      <c r="LZ7" s="10">
        <f t="shared" si="13"/>
        <v>0</v>
      </c>
      <c r="MA7" s="11">
        <f t="shared" si="13"/>
        <v>0</v>
      </c>
      <c r="MB7" s="55">
        <f>IFERROR(LW7/LT7,0)</f>
        <v>0</v>
      </c>
      <c r="MC7" s="54">
        <f>IFERROR(LX7/LU7,0)</f>
        <v>0</v>
      </c>
    </row>
    <row r="8" spans="2:341" ht="51.75" customHeight="1" x14ac:dyDescent="0.25">
      <c r="B8" s="22">
        <v>1</v>
      </c>
      <c r="C8" s="21" t="s">
        <v>6</v>
      </c>
      <c r="D8" s="1">
        <f>+G8+J8</f>
        <v>228</v>
      </c>
      <c r="E8" s="1">
        <f>+H8+K8</f>
        <v>285</v>
      </c>
      <c r="F8" s="1">
        <f>+I8+L8</f>
        <v>38</v>
      </c>
      <c r="G8" s="1">
        <v>112</v>
      </c>
      <c r="H8" s="1">
        <f>117+20</f>
        <v>137</v>
      </c>
      <c r="I8" s="1">
        <v>20</v>
      </c>
      <c r="J8" s="1">
        <v>116</v>
      </c>
      <c r="K8" s="1">
        <v>148</v>
      </c>
      <c r="L8" s="1">
        <v>18</v>
      </c>
      <c r="M8" s="1">
        <f>+P8+S8</f>
        <v>233</v>
      </c>
      <c r="N8" s="1">
        <f>+Q8+T8</f>
        <v>297</v>
      </c>
      <c r="O8" s="1">
        <f>+R8+U8</f>
        <v>27</v>
      </c>
      <c r="P8" s="1">
        <v>116</v>
      </c>
      <c r="Q8" s="1">
        <f>129+15</f>
        <v>144</v>
      </c>
      <c r="R8" s="1">
        <v>15</v>
      </c>
      <c r="S8" s="1">
        <v>117</v>
      </c>
      <c r="T8" s="1">
        <v>153</v>
      </c>
      <c r="U8" s="1">
        <v>12</v>
      </c>
      <c r="V8" s="1">
        <f>+Y8+AB8</f>
        <v>225</v>
      </c>
      <c r="W8" s="1">
        <f>+Z8+AC8</f>
        <v>279</v>
      </c>
      <c r="X8" s="1">
        <f>+AA8+AD8</f>
        <v>13</v>
      </c>
      <c r="Y8" s="1">
        <v>111</v>
      </c>
      <c r="Z8" s="1">
        <f>123+13</f>
        <v>136</v>
      </c>
      <c r="AA8" s="1">
        <v>13</v>
      </c>
      <c r="AB8" s="1">
        <v>114</v>
      </c>
      <c r="AC8" s="1">
        <v>143</v>
      </c>
      <c r="AD8" s="1">
        <v>0</v>
      </c>
      <c r="AE8" s="1">
        <f>+AH8+AK8</f>
        <v>230</v>
      </c>
      <c r="AF8" s="1">
        <f>+AI8+AL8</f>
        <v>293</v>
      </c>
      <c r="AG8" s="1">
        <f>+AJ8+AM8</f>
        <v>17</v>
      </c>
      <c r="AH8" s="1">
        <v>115</v>
      </c>
      <c r="AI8" s="1">
        <f>144+17</f>
        <v>161</v>
      </c>
      <c r="AJ8" s="1">
        <v>17</v>
      </c>
      <c r="AK8" s="1">
        <v>115</v>
      </c>
      <c r="AL8" s="1">
        <v>132</v>
      </c>
      <c r="AM8" s="1">
        <v>0</v>
      </c>
      <c r="AN8" s="1">
        <f>+AQ8+AT8</f>
        <v>232</v>
      </c>
      <c r="AO8" s="1">
        <f>+AR8+AU8</f>
        <v>272</v>
      </c>
      <c r="AP8" s="1">
        <f>+AS8+AV8</f>
        <v>12</v>
      </c>
      <c r="AQ8" s="1">
        <v>115</v>
      </c>
      <c r="AR8" s="1">
        <v>147</v>
      </c>
      <c r="AS8" s="1">
        <v>6</v>
      </c>
      <c r="AT8" s="1">
        <v>117</v>
      </c>
      <c r="AU8" s="1">
        <v>125</v>
      </c>
      <c r="AV8" s="1">
        <v>6</v>
      </c>
      <c r="AW8" s="1">
        <f>+AZ8+BC8</f>
        <v>112</v>
      </c>
      <c r="AX8" s="1">
        <f>+BA8+BD8</f>
        <v>114</v>
      </c>
      <c r="AY8" s="1">
        <f>+BB8+BE8</f>
        <v>0</v>
      </c>
      <c r="AZ8" s="1">
        <v>112</v>
      </c>
      <c r="BA8" s="1">
        <v>114</v>
      </c>
      <c r="BB8" s="1">
        <v>0</v>
      </c>
      <c r="BC8" s="1">
        <v>0</v>
      </c>
      <c r="BD8" s="1">
        <v>0</v>
      </c>
      <c r="BE8" s="1">
        <v>0</v>
      </c>
      <c r="BF8" s="12">
        <f>+BL8+BT8</f>
        <v>249</v>
      </c>
      <c r="BG8" s="13">
        <f>+BM8+BU8</f>
        <v>360</v>
      </c>
      <c r="BH8" s="14">
        <f t="shared" ref="BH8" si="14">+BN8+BV8</f>
        <v>26</v>
      </c>
      <c r="BI8" s="20">
        <f>+BO8+BW8</f>
        <v>227</v>
      </c>
      <c r="BJ8" s="13">
        <f>+BP8+BX8</f>
        <v>240</v>
      </c>
      <c r="BK8" s="14">
        <f>+BQ8+BY8</f>
        <v>12</v>
      </c>
      <c r="BL8" s="12">
        <v>125</v>
      </c>
      <c r="BM8" s="13">
        <v>182</v>
      </c>
      <c r="BN8" s="14">
        <v>12</v>
      </c>
      <c r="BO8" s="12">
        <v>110</v>
      </c>
      <c r="BP8" s="13">
        <f>88+12</f>
        <v>100</v>
      </c>
      <c r="BQ8" s="14">
        <v>12</v>
      </c>
      <c r="BR8" s="13">
        <f>+BL8-BO8</f>
        <v>15</v>
      </c>
      <c r="BS8" s="14">
        <f>+BM8-BP8</f>
        <v>82</v>
      </c>
      <c r="BT8" s="12">
        <v>124</v>
      </c>
      <c r="BU8" s="13">
        <f>164+14</f>
        <v>178</v>
      </c>
      <c r="BV8" s="14">
        <v>14</v>
      </c>
      <c r="BW8" s="12">
        <v>117</v>
      </c>
      <c r="BX8" s="13">
        <f>126+14</f>
        <v>140</v>
      </c>
      <c r="BY8" s="14"/>
      <c r="BZ8" s="13">
        <f>+BT8-BW8</f>
        <v>7</v>
      </c>
      <c r="CA8" s="14">
        <f>+BU8-BX8</f>
        <v>38</v>
      </c>
      <c r="CB8" s="12">
        <v>125</v>
      </c>
      <c r="CC8" s="13">
        <v>140</v>
      </c>
      <c r="CD8" s="14">
        <v>5</v>
      </c>
      <c r="CE8" s="12">
        <v>116</v>
      </c>
      <c r="CF8" s="13">
        <v>104</v>
      </c>
      <c r="CG8" s="14">
        <v>5</v>
      </c>
      <c r="CH8" s="13">
        <f>+CB8-CE8</f>
        <v>9</v>
      </c>
      <c r="CI8" s="14">
        <f>+CC8-CF8</f>
        <v>36</v>
      </c>
      <c r="CJ8" s="23">
        <f>+CE8/CB8</f>
        <v>0.92800000000000005</v>
      </c>
      <c r="CK8" s="23">
        <f>+CF8/CC8</f>
        <v>0.74285714285714288</v>
      </c>
      <c r="CL8" s="12">
        <v>124</v>
      </c>
      <c r="CM8" s="13">
        <v>161</v>
      </c>
      <c r="CN8" s="14">
        <v>15</v>
      </c>
      <c r="CO8" s="12">
        <v>119</v>
      </c>
      <c r="CP8" s="13">
        <v>117</v>
      </c>
      <c r="CQ8" s="14">
        <v>15</v>
      </c>
      <c r="CR8" s="13">
        <f>+CL8-CO8</f>
        <v>5</v>
      </c>
      <c r="CS8" s="14">
        <f>+CM8-CP8</f>
        <v>44</v>
      </c>
      <c r="CT8" s="23">
        <f>+CO8/CL8</f>
        <v>0.95967741935483875</v>
      </c>
      <c r="CU8" s="26">
        <f>+CP8/CM8</f>
        <v>0.72670807453416153</v>
      </c>
      <c r="CV8" s="12">
        <v>124</v>
      </c>
      <c r="CW8" s="13">
        <f>138+9</f>
        <v>147</v>
      </c>
      <c r="CX8" s="14">
        <v>9</v>
      </c>
      <c r="CY8" s="12">
        <v>115</v>
      </c>
      <c r="CZ8" s="13">
        <f>96+9</f>
        <v>105</v>
      </c>
      <c r="DA8" s="14">
        <v>9</v>
      </c>
      <c r="DB8" s="13">
        <f>+CV8-CY8</f>
        <v>9</v>
      </c>
      <c r="DC8" s="14">
        <f>+CW8-CZ8</f>
        <v>42</v>
      </c>
      <c r="DD8" s="23">
        <f>+CY8/CV8</f>
        <v>0.92741935483870963</v>
      </c>
      <c r="DE8" s="23">
        <f>+CZ8/CW8</f>
        <v>0.7142857142857143</v>
      </c>
      <c r="DF8" s="12">
        <v>124</v>
      </c>
      <c r="DG8" s="13">
        <v>172</v>
      </c>
      <c r="DH8" s="14">
        <v>19</v>
      </c>
      <c r="DI8" s="12">
        <v>120</v>
      </c>
      <c r="DJ8" s="13">
        <v>123</v>
      </c>
      <c r="DK8" s="14">
        <v>19</v>
      </c>
      <c r="DL8" s="13">
        <f>+DF8-DI8</f>
        <v>4</v>
      </c>
      <c r="DM8" s="14">
        <f>+DG8-DJ8</f>
        <v>49</v>
      </c>
      <c r="DN8" s="23">
        <f>+DI8/DF8</f>
        <v>0.967741935483871</v>
      </c>
      <c r="DO8" s="26">
        <f>+DJ8/DG8</f>
        <v>0.71511627906976749</v>
      </c>
      <c r="DP8" s="12">
        <v>124</v>
      </c>
      <c r="DQ8" s="13">
        <f>135+6</f>
        <v>141</v>
      </c>
      <c r="DR8" s="14">
        <v>6</v>
      </c>
      <c r="DS8" s="12">
        <v>115</v>
      </c>
      <c r="DT8" s="13">
        <f>94+6</f>
        <v>100</v>
      </c>
      <c r="DU8" s="14">
        <v>6</v>
      </c>
      <c r="DV8" s="13">
        <f>+DP8-DS8</f>
        <v>9</v>
      </c>
      <c r="DW8" s="14">
        <f>+DQ8-DT8</f>
        <v>41</v>
      </c>
      <c r="DX8" s="23">
        <f>+DS8/DP8</f>
        <v>0.92741935483870963</v>
      </c>
      <c r="DY8" s="23">
        <f>+DT8/DQ8</f>
        <v>0.70921985815602839</v>
      </c>
      <c r="DZ8" s="12">
        <v>124</v>
      </c>
      <c r="EA8" s="13">
        <v>181</v>
      </c>
      <c r="EB8" s="14">
        <v>21</v>
      </c>
      <c r="EC8" s="12">
        <v>121</v>
      </c>
      <c r="ED8" s="13">
        <v>118</v>
      </c>
      <c r="EE8" s="14">
        <v>21</v>
      </c>
      <c r="EF8" s="13">
        <f>+DZ8-EC8</f>
        <v>3</v>
      </c>
      <c r="EG8" s="14">
        <f>+EA8-ED8</f>
        <v>63</v>
      </c>
      <c r="EH8" s="23">
        <f>+EC8/DZ8</f>
        <v>0.97580645161290325</v>
      </c>
      <c r="EI8" s="26">
        <f>+ED8/EA8</f>
        <v>0.65193370165745856</v>
      </c>
      <c r="EJ8" s="12">
        <v>124</v>
      </c>
      <c r="EK8" s="13">
        <f>126+10</f>
        <v>136</v>
      </c>
      <c r="EL8" s="14">
        <v>10</v>
      </c>
      <c r="EM8" s="12">
        <v>115</v>
      </c>
      <c r="EN8" s="13">
        <f>91+10</f>
        <v>101</v>
      </c>
      <c r="EO8" s="14">
        <v>10</v>
      </c>
      <c r="EP8" s="13">
        <f>+EJ8-EM8</f>
        <v>9</v>
      </c>
      <c r="EQ8" s="14">
        <f>+EK8-EN8</f>
        <v>35</v>
      </c>
      <c r="ER8" s="23">
        <f>+EM8/EJ8</f>
        <v>0.92741935483870963</v>
      </c>
      <c r="ES8" s="23">
        <f>+EN8/EK8</f>
        <v>0.74264705882352944</v>
      </c>
      <c r="ET8" s="12">
        <v>124</v>
      </c>
      <c r="EU8" s="13">
        <v>227</v>
      </c>
      <c r="EV8" s="14">
        <v>61</v>
      </c>
      <c r="EW8" s="12">
        <v>120</v>
      </c>
      <c r="EX8" s="13">
        <v>153</v>
      </c>
      <c r="EY8" s="14">
        <v>61</v>
      </c>
      <c r="EZ8" s="13">
        <f>+ET8-EW8</f>
        <v>4</v>
      </c>
      <c r="FA8" s="14">
        <f>+EU8-EX8</f>
        <v>74</v>
      </c>
      <c r="FB8" s="23">
        <f>+EW8/ET8</f>
        <v>0.967741935483871</v>
      </c>
      <c r="FC8" s="26">
        <f>+EX8/EU8</f>
        <v>0.67400881057268724</v>
      </c>
      <c r="FD8" s="12">
        <v>122</v>
      </c>
      <c r="FE8" s="13">
        <v>135</v>
      </c>
      <c r="FF8" s="14">
        <v>7</v>
      </c>
      <c r="FG8" s="12">
        <v>112</v>
      </c>
      <c r="FH8" s="13">
        <f>79+7</f>
        <v>86</v>
      </c>
      <c r="FI8" s="14">
        <v>7</v>
      </c>
      <c r="FJ8" s="13">
        <f>+FD8-FG8</f>
        <v>10</v>
      </c>
      <c r="FK8" s="14">
        <f>+FE8-FH8</f>
        <v>49</v>
      </c>
      <c r="FL8" s="23">
        <f>+FG8/FD8</f>
        <v>0.91803278688524592</v>
      </c>
      <c r="FM8" s="23">
        <f>+FH8/FE8</f>
        <v>0.63703703703703707</v>
      </c>
      <c r="FN8" s="12">
        <v>124</v>
      </c>
      <c r="FO8" s="13">
        <v>240</v>
      </c>
      <c r="FP8" s="14">
        <v>13</v>
      </c>
      <c r="FQ8" s="12">
        <v>113</v>
      </c>
      <c r="FR8" s="13">
        <v>161</v>
      </c>
      <c r="FS8" s="14">
        <v>13</v>
      </c>
      <c r="FT8" s="13">
        <f>+FN8-FQ8</f>
        <v>11</v>
      </c>
      <c r="FU8" s="14">
        <f>+FO8-FR8</f>
        <v>79</v>
      </c>
      <c r="FV8" s="23">
        <f>+FQ8/FN8</f>
        <v>0.91129032258064513</v>
      </c>
      <c r="FW8" s="26">
        <f>+FR8/FO8</f>
        <v>0.67083333333333328</v>
      </c>
      <c r="FX8" s="12">
        <v>122</v>
      </c>
      <c r="FY8" s="13">
        <f>125+21</f>
        <v>146</v>
      </c>
      <c r="FZ8" s="14">
        <v>21</v>
      </c>
      <c r="GA8" s="12">
        <v>117</v>
      </c>
      <c r="GB8" s="13">
        <f>79+21</f>
        <v>100</v>
      </c>
      <c r="GC8" s="14">
        <v>21</v>
      </c>
      <c r="GD8" s="13">
        <f>+FX8-GA8</f>
        <v>5</v>
      </c>
      <c r="GE8" s="14">
        <f>+FY8-GB8</f>
        <v>46</v>
      </c>
      <c r="GF8" s="23">
        <f>+GA8/FX8</f>
        <v>0.95901639344262291</v>
      </c>
      <c r="GG8" s="23">
        <f>+GB8/FY8</f>
        <v>0.68493150684931503</v>
      </c>
      <c r="GH8" s="12">
        <v>124</v>
      </c>
      <c r="GI8" s="13">
        <v>244</v>
      </c>
      <c r="GJ8" s="14">
        <v>46</v>
      </c>
      <c r="GK8" s="12">
        <v>118</v>
      </c>
      <c r="GL8" s="13">
        <v>178</v>
      </c>
      <c r="GM8" s="14">
        <v>46</v>
      </c>
      <c r="GN8" s="13">
        <f>+GH8-GK8</f>
        <v>6</v>
      </c>
      <c r="GO8" s="14">
        <f>+GI8-GL8</f>
        <v>66</v>
      </c>
      <c r="GP8" s="23">
        <f>+GK8/GH8</f>
        <v>0.95161290322580649</v>
      </c>
      <c r="GQ8" s="26">
        <f>+GL8/GI8</f>
        <v>0.72950819672131151</v>
      </c>
      <c r="GR8" s="12">
        <v>122</v>
      </c>
      <c r="GS8" s="13">
        <f>135+7</f>
        <v>142</v>
      </c>
      <c r="GT8" s="14">
        <v>7</v>
      </c>
      <c r="GU8" s="12">
        <v>116</v>
      </c>
      <c r="GV8" s="13">
        <f>98+7</f>
        <v>105</v>
      </c>
      <c r="GW8" s="14">
        <v>7</v>
      </c>
      <c r="GX8" s="13">
        <f>+GR8-GU8</f>
        <v>6</v>
      </c>
      <c r="GY8" s="14">
        <f>+GS8-GV8</f>
        <v>37</v>
      </c>
      <c r="GZ8" s="23">
        <f>+GU8/GR8</f>
        <v>0.95081967213114749</v>
      </c>
      <c r="HA8" s="23">
        <f>+GV8/GS8</f>
        <v>0.73943661971830987</v>
      </c>
      <c r="HB8" s="12">
        <v>124</v>
      </c>
      <c r="HC8" s="13">
        <v>206</v>
      </c>
      <c r="HD8" s="14">
        <v>10</v>
      </c>
      <c r="HE8" s="12">
        <v>121</v>
      </c>
      <c r="HF8" s="13">
        <v>160</v>
      </c>
      <c r="HG8" s="14">
        <v>10</v>
      </c>
      <c r="HH8" s="13">
        <f>+HB8-HE8</f>
        <v>3</v>
      </c>
      <c r="HI8" s="14">
        <f>+HC8-HF8</f>
        <v>46</v>
      </c>
      <c r="HJ8" s="23">
        <f>+HE8/HB8</f>
        <v>0.97580645161290325</v>
      </c>
      <c r="HK8" s="26">
        <f>+HF8/HC8</f>
        <v>0.77669902912621358</v>
      </c>
      <c r="HL8" s="12">
        <v>122</v>
      </c>
      <c r="HM8" s="13">
        <v>128</v>
      </c>
      <c r="HN8" s="14">
        <v>6</v>
      </c>
      <c r="HO8" s="12">
        <v>116</v>
      </c>
      <c r="HP8" s="13">
        <v>105</v>
      </c>
      <c r="HQ8" s="14">
        <v>6</v>
      </c>
      <c r="HR8" s="13">
        <f>+HL8-HO8</f>
        <v>6</v>
      </c>
      <c r="HS8" s="14">
        <f>+HM8-HP8</f>
        <v>23</v>
      </c>
      <c r="HT8" s="23">
        <f>+HO8/HL8</f>
        <v>0.95081967213114749</v>
      </c>
      <c r="HU8" s="23">
        <f>+HP8/HM8</f>
        <v>0.8203125</v>
      </c>
      <c r="HV8" s="12">
        <v>124</v>
      </c>
      <c r="HW8" s="13">
        <v>213</v>
      </c>
      <c r="HX8" s="14">
        <v>7</v>
      </c>
      <c r="HY8" s="12">
        <v>117</v>
      </c>
      <c r="HZ8" s="13">
        <v>142</v>
      </c>
      <c r="IA8" s="14">
        <v>7</v>
      </c>
      <c r="IB8" s="13">
        <f>+HV8-HY8</f>
        <v>7</v>
      </c>
      <c r="IC8" s="14">
        <f>+HW8-HZ8</f>
        <v>71</v>
      </c>
      <c r="ID8" s="23">
        <f>+HY8/HV8</f>
        <v>0.94354838709677424</v>
      </c>
      <c r="IE8" s="26">
        <f>+HZ8/HW8</f>
        <v>0.66666666666666663</v>
      </c>
      <c r="IF8" s="12">
        <v>122</v>
      </c>
      <c r="IG8" s="13">
        <v>123</v>
      </c>
      <c r="IH8" s="14">
        <v>3</v>
      </c>
      <c r="II8" s="12">
        <v>114</v>
      </c>
      <c r="IJ8" s="13">
        <v>92</v>
      </c>
      <c r="IK8" s="14">
        <v>3</v>
      </c>
      <c r="IL8" s="13">
        <f>+IF8-II8</f>
        <v>8</v>
      </c>
      <c r="IM8" s="14">
        <f>+IG8-IJ8</f>
        <v>31</v>
      </c>
      <c r="IN8" s="23">
        <f>+II8/IF8</f>
        <v>0.93442622950819676</v>
      </c>
      <c r="IO8" s="23">
        <f>+IJ8/IG8</f>
        <v>0.74796747967479671</v>
      </c>
      <c r="IP8" s="12">
        <v>124</v>
      </c>
      <c r="IQ8" s="13">
        <v>190</v>
      </c>
      <c r="IR8" s="14">
        <v>4</v>
      </c>
      <c r="IS8" s="12">
        <v>118</v>
      </c>
      <c r="IT8" s="13">
        <v>134</v>
      </c>
      <c r="IU8" s="14">
        <v>4</v>
      </c>
      <c r="IV8" s="13">
        <f>+IP8-IS8</f>
        <v>6</v>
      </c>
      <c r="IW8" s="14">
        <f>+IQ8-IT8</f>
        <v>56</v>
      </c>
      <c r="IX8" s="23">
        <f>+IS8/IP8</f>
        <v>0.95161290322580649</v>
      </c>
      <c r="IY8" s="26">
        <f>+IT8/IQ8</f>
        <v>0.70526315789473681</v>
      </c>
      <c r="IZ8" s="12">
        <v>122</v>
      </c>
      <c r="JA8" s="13">
        <f>123+2</f>
        <v>125</v>
      </c>
      <c r="JB8" s="14">
        <v>2</v>
      </c>
      <c r="JC8" s="12">
        <v>106</v>
      </c>
      <c r="JD8" s="13">
        <v>100</v>
      </c>
      <c r="JE8" s="14">
        <v>2</v>
      </c>
      <c r="JF8" s="13">
        <f>+IZ8-JC8</f>
        <v>16</v>
      </c>
      <c r="JG8" s="14">
        <f>+JA8-JD8</f>
        <v>25</v>
      </c>
      <c r="JH8" s="23">
        <f>+JC8/IZ8</f>
        <v>0.86885245901639341</v>
      </c>
      <c r="JI8" s="23">
        <f>+JD8/JA8</f>
        <v>0.8</v>
      </c>
      <c r="JJ8" s="12">
        <v>124</v>
      </c>
      <c r="JK8" s="13">
        <v>219</v>
      </c>
      <c r="JL8" s="14">
        <v>29</v>
      </c>
      <c r="JM8" s="12">
        <v>118</v>
      </c>
      <c r="JN8" s="13">
        <v>162</v>
      </c>
      <c r="JO8" s="14">
        <v>29</v>
      </c>
      <c r="JP8" s="13">
        <f>+JJ8-JM8</f>
        <v>6</v>
      </c>
      <c r="JQ8" s="14">
        <f>+JK8-JN8</f>
        <v>57</v>
      </c>
      <c r="JR8" s="23">
        <f>+JM8/JJ8</f>
        <v>0.95161290322580649</v>
      </c>
      <c r="JS8" s="26">
        <f>+JN8/JK8</f>
        <v>0.73972602739726023</v>
      </c>
      <c r="JT8" s="12">
        <v>122</v>
      </c>
      <c r="JU8" s="13">
        <v>123</v>
      </c>
      <c r="JV8" s="14">
        <v>3</v>
      </c>
      <c r="JW8" s="12">
        <v>112</v>
      </c>
      <c r="JX8" s="13">
        <v>86</v>
      </c>
      <c r="JY8" s="14">
        <v>3</v>
      </c>
      <c r="JZ8" s="13">
        <f>+JT8-JW8</f>
        <v>10</v>
      </c>
      <c r="KA8" s="14">
        <f>+JU8-JX8</f>
        <v>37</v>
      </c>
      <c r="KB8" s="23">
        <f>+JW8/JT8</f>
        <v>0.91803278688524592</v>
      </c>
      <c r="KC8" s="23">
        <f>+JX8/JU8</f>
        <v>0.69918699186991873</v>
      </c>
      <c r="KD8" s="12">
        <v>124</v>
      </c>
      <c r="KE8" s="13">
        <v>197</v>
      </c>
      <c r="KF8" s="14">
        <v>2</v>
      </c>
      <c r="KG8" s="12">
        <v>112</v>
      </c>
      <c r="KH8" s="13">
        <v>126</v>
      </c>
      <c r="KI8" s="14">
        <v>2</v>
      </c>
      <c r="KJ8" s="13">
        <f>+KD8-KG8</f>
        <v>12</v>
      </c>
      <c r="KK8" s="14">
        <f>+KE8-KH8</f>
        <v>71</v>
      </c>
      <c r="KL8" s="23">
        <f>+KG8/KD8</f>
        <v>0.90322580645161288</v>
      </c>
      <c r="KM8" s="26">
        <f>+KH8/KE8</f>
        <v>0.63959390862944165</v>
      </c>
      <c r="KN8" s="22">
        <v>1</v>
      </c>
      <c r="KO8" s="21" t="s">
        <v>6</v>
      </c>
      <c r="KP8" s="12">
        <v>121</v>
      </c>
      <c r="KQ8" s="13">
        <f>149+12</f>
        <v>161</v>
      </c>
      <c r="KR8" s="14">
        <v>38</v>
      </c>
      <c r="KS8" s="12">
        <v>115</v>
      </c>
      <c r="KT8" s="13">
        <f>85+26+12</f>
        <v>123</v>
      </c>
      <c r="KU8" s="14">
        <v>26</v>
      </c>
      <c r="KV8" s="13">
        <f>+KP8-KS8</f>
        <v>6</v>
      </c>
      <c r="KW8" s="14">
        <f>+KQ8-KT8</f>
        <v>38</v>
      </c>
      <c r="KX8" s="23">
        <f>+KS8/KP8</f>
        <v>0.95041322314049592</v>
      </c>
      <c r="KY8" s="23">
        <f>+KT8/KQ8</f>
        <v>0.7639751552795031</v>
      </c>
      <c r="KZ8" s="12">
        <v>118</v>
      </c>
      <c r="LA8" s="13">
        <v>195</v>
      </c>
      <c r="LB8" s="14">
        <v>27</v>
      </c>
      <c r="LC8" s="12">
        <v>114</v>
      </c>
      <c r="LD8" s="13">
        <v>125</v>
      </c>
      <c r="LE8" s="14">
        <v>27</v>
      </c>
      <c r="LF8" s="13">
        <f>+KZ8-LC8</f>
        <v>4</v>
      </c>
      <c r="LG8" s="14">
        <f>+LA8-LD8</f>
        <v>70</v>
      </c>
      <c r="LH8" s="23">
        <f>+LC8/KZ8</f>
        <v>0.96610169491525422</v>
      </c>
      <c r="LI8" s="26">
        <f>+LD8/LA8</f>
        <v>0.64102564102564108</v>
      </c>
      <c r="LJ8" s="12"/>
      <c r="LK8" s="13"/>
      <c r="LL8" s="14"/>
      <c r="LM8" s="12"/>
      <c r="LN8" s="13"/>
      <c r="LO8" s="14"/>
      <c r="LP8" s="13">
        <f>+LJ8-LM8</f>
        <v>0</v>
      </c>
      <c r="LQ8" s="14">
        <f>+LK8-LN8</f>
        <v>0</v>
      </c>
      <c r="LR8" s="53">
        <f>IFERROR(LM8/LJ8,0)</f>
        <v>0</v>
      </c>
      <c r="LS8" s="53">
        <f>IFERROR(LN8/LK8,0)</f>
        <v>0</v>
      </c>
      <c r="LT8" s="12"/>
      <c r="LU8" s="13"/>
      <c r="LV8" s="14"/>
      <c r="LW8" s="12"/>
      <c r="LX8" s="13"/>
      <c r="LY8" s="14"/>
      <c r="LZ8" s="13">
        <f>+LT8-LW8</f>
        <v>0</v>
      </c>
      <c r="MA8" s="14">
        <f>+LU8-LX8</f>
        <v>0</v>
      </c>
      <c r="MB8" s="56">
        <f>IFERROR(LW8/LT8,0)</f>
        <v>0</v>
      </c>
      <c r="MC8" s="26">
        <f>IFERROR(LX8/LU8,0)</f>
        <v>0</v>
      </c>
    </row>
  </sheetData>
  <mergeCells count="184">
    <mergeCell ref="KL5:KM5"/>
    <mergeCell ref="IF3:IY3"/>
    <mergeCell ref="IF4:IO4"/>
    <mergeCell ref="IP4:IY4"/>
    <mergeCell ref="IF5:IH5"/>
    <mergeCell ref="II5:IK5"/>
    <mergeCell ref="IL5:IM5"/>
    <mergeCell ref="IN5:IO5"/>
    <mergeCell ref="IP5:IR5"/>
    <mergeCell ref="IS5:IU5"/>
    <mergeCell ref="IV5:IW5"/>
    <mergeCell ref="IX5:IY5"/>
    <mergeCell ref="HL3:IE3"/>
    <mergeCell ref="HL4:HU4"/>
    <mergeCell ref="HV4:IE4"/>
    <mergeCell ref="HL5:HN5"/>
    <mergeCell ref="HO5:HQ5"/>
    <mergeCell ref="HR5:HS5"/>
    <mergeCell ref="HT5:HU5"/>
    <mergeCell ref="HV5:HX5"/>
    <mergeCell ref="HY5:IA5"/>
    <mergeCell ref="IB5:IC5"/>
    <mergeCell ref="ID5:IE5"/>
    <mergeCell ref="EJ3:FC3"/>
    <mergeCell ref="EJ4:ES4"/>
    <mergeCell ref="ET4:FC4"/>
    <mergeCell ref="EJ5:EL5"/>
    <mergeCell ref="EM5:EO5"/>
    <mergeCell ref="EP5:EQ5"/>
    <mergeCell ref="ER5:ES5"/>
    <mergeCell ref="ET5:EV5"/>
    <mergeCell ref="EW5:EY5"/>
    <mergeCell ref="EZ5:FA5"/>
    <mergeCell ref="FB5:FC5"/>
    <mergeCell ref="CB3:CU3"/>
    <mergeCell ref="CB5:CD5"/>
    <mergeCell ref="BT4:CA4"/>
    <mergeCell ref="DP3:EI3"/>
    <mergeCell ref="DP4:DY4"/>
    <mergeCell ref="DZ4:EI4"/>
    <mergeCell ref="DP5:DR5"/>
    <mergeCell ref="DS5:DU5"/>
    <mergeCell ref="DV5:DW5"/>
    <mergeCell ref="DX5:DY5"/>
    <mergeCell ref="DZ5:EB5"/>
    <mergeCell ref="EC5:EE5"/>
    <mergeCell ref="EF5:EG5"/>
    <mergeCell ref="EH5:EI5"/>
    <mergeCell ref="CV3:DO3"/>
    <mergeCell ref="CV4:DE4"/>
    <mergeCell ref="DF4:DO4"/>
    <mergeCell ref="CV5:CX5"/>
    <mergeCell ref="CY5:DA5"/>
    <mergeCell ref="DB5:DC5"/>
    <mergeCell ref="DD5:DE5"/>
    <mergeCell ref="DF5:DH5"/>
    <mergeCell ref="DI5:DK5"/>
    <mergeCell ref="DL5:DM5"/>
    <mergeCell ref="DN5:DO5"/>
    <mergeCell ref="V3:AD3"/>
    <mergeCell ref="V4:X4"/>
    <mergeCell ref="Y4:AA4"/>
    <mergeCell ref="AB4:AD4"/>
    <mergeCell ref="M3:U3"/>
    <mergeCell ref="BL5:BN5"/>
    <mergeCell ref="BO5:BQ5"/>
    <mergeCell ref="BL4:BS4"/>
    <mergeCell ref="BR5:BS5"/>
    <mergeCell ref="BF4:BH5"/>
    <mergeCell ref="BI4:BK5"/>
    <mergeCell ref="AW3:BE3"/>
    <mergeCell ref="AW4:AY4"/>
    <mergeCell ref="AZ4:BB4"/>
    <mergeCell ref="BC4:BE4"/>
    <mergeCell ref="BF3:CA3"/>
    <mergeCell ref="S4:U4"/>
    <mergeCell ref="AN3:AV3"/>
    <mergeCell ref="AN4:AP4"/>
    <mergeCell ref="AQ4:AS4"/>
    <mergeCell ref="AT4:AV4"/>
    <mergeCell ref="AE3:AM3"/>
    <mergeCell ref="AE4:AG4"/>
    <mergeCell ref="AH4:AJ4"/>
    <mergeCell ref="B7:C7"/>
    <mergeCell ref="B3:B6"/>
    <mergeCell ref="C3:C6"/>
    <mergeCell ref="D3:L3"/>
    <mergeCell ref="D4:F4"/>
    <mergeCell ref="G4:I4"/>
    <mergeCell ref="J4:L4"/>
    <mergeCell ref="M4:O4"/>
    <mergeCell ref="P4:R4"/>
    <mergeCell ref="AK4:AM4"/>
    <mergeCell ref="CE5:CG5"/>
    <mergeCell ref="CH5:CI5"/>
    <mergeCell ref="CB4:CK4"/>
    <mergeCell ref="CJ5:CK5"/>
    <mergeCell ref="CL4:CU4"/>
    <mergeCell ref="CL5:CN5"/>
    <mergeCell ref="CO5:CQ5"/>
    <mergeCell ref="CR5:CS5"/>
    <mergeCell ref="CT5:CU5"/>
    <mergeCell ref="BT5:BV5"/>
    <mergeCell ref="BW5:BY5"/>
    <mergeCell ref="BZ5:CA5"/>
    <mergeCell ref="FD3:FW3"/>
    <mergeCell ref="FD4:FM4"/>
    <mergeCell ref="FN4:FW4"/>
    <mergeCell ref="FD5:FF5"/>
    <mergeCell ref="FG5:FI5"/>
    <mergeCell ref="FJ5:FK5"/>
    <mergeCell ref="FL5:FM5"/>
    <mergeCell ref="FN5:FP5"/>
    <mergeCell ref="FQ5:FS5"/>
    <mergeCell ref="FT5:FU5"/>
    <mergeCell ref="FV5:FW5"/>
    <mergeCell ref="FX3:GQ3"/>
    <mergeCell ref="FX4:GG4"/>
    <mergeCell ref="GH4:GQ4"/>
    <mergeCell ref="FX5:FZ5"/>
    <mergeCell ref="GA5:GC5"/>
    <mergeCell ref="GD5:GE5"/>
    <mergeCell ref="GF5:GG5"/>
    <mergeCell ref="GH5:GJ5"/>
    <mergeCell ref="GK5:GM5"/>
    <mergeCell ref="GN5:GO5"/>
    <mergeCell ref="GP5:GQ5"/>
    <mergeCell ref="GR3:HK3"/>
    <mergeCell ref="GR4:HA4"/>
    <mergeCell ref="HB4:HK4"/>
    <mergeCell ref="GR5:GT5"/>
    <mergeCell ref="GU5:GW5"/>
    <mergeCell ref="GX5:GY5"/>
    <mergeCell ref="GZ5:HA5"/>
    <mergeCell ref="HB5:HD5"/>
    <mergeCell ref="HE5:HG5"/>
    <mergeCell ref="HH5:HI5"/>
    <mergeCell ref="HJ5:HK5"/>
    <mergeCell ref="KN7:KO7"/>
    <mergeCell ref="KN3:KN6"/>
    <mergeCell ref="KO3:KO6"/>
    <mergeCell ref="IZ3:JS3"/>
    <mergeCell ref="IZ4:JI4"/>
    <mergeCell ref="JJ4:JS4"/>
    <mergeCell ref="IZ5:JB5"/>
    <mergeCell ref="JC5:JE5"/>
    <mergeCell ref="JF5:JG5"/>
    <mergeCell ref="JH5:JI5"/>
    <mergeCell ref="JJ5:JL5"/>
    <mergeCell ref="JM5:JO5"/>
    <mergeCell ref="JP5:JQ5"/>
    <mergeCell ref="JR5:JS5"/>
    <mergeCell ref="JT3:KM3"/>
    <mergeCell ref="JT4:KC4"/>
    <mergeCell ref="KD4:KM4"/>
    <mergeCell ref="JT5:JV5"/>
    <mergeCell ref="JW5:JY5"/>
    <mergeCell ref="JZ5:KA5"/>
    <mergeCell ref="KB5:KC5"/>
    <mergeCell ref="KD5:KF5"/>
    <mergeCell ref="KG5:KI5"/>
    <mergeCell ref="KJ5:KK5"/>
    <mergeCell ref="KP3:LI3"/>
    <mergeCell ref="KP4:KY4"/>
    <mergeCell ref="KZ4:LI4"/>
    <mergeCell ref="KP5:KR5"/>
    <mergeCell ref="KS5:KU5"/>
    <mergeCell ref="KV5:KW5"/>
    <mergeCell ref="KX5:KY5"/>
    <mergeCell ref="KZ5:LB5"/>
    <mergeCell ref="LC5:LE5"/>
    <mergeCell ref="LF5:LG5"/>
    <mergeCell ref="LH5:LI5"/>
    <mergeCell ref="LJ3:MC3"/>
    <mergeCell ref="LJ4:LS4"/>
    <mergeCell ref="LT4:MC4"/>
    <mergeCell ref="LJ5:LL5"/>
    <mergeCell ref="LM5:LO5"/>
    <mergeCell ref="LP5:LQ5"/>
    <mergeCell ref="LR5:LS5"/>
    <mergeCell ref="LT5:LV5"/>
    <mergeCell ref="LW5:LY5"/>
    <mergeCell ref="LZ5:MA5"/>
    <mergeCell ref="MB5:M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 Nhun</dc:creator>
  <cp:lastModifiedBy>Nhun Nhun</cp:lastModifiedBy>
  <dcterms:created xsi:type="dcterms:W3CDTF">2025-11-26T10:01:52Z</dcterms:created>
  <dcterms:modified xsi:type="dcterms:W3CDTF">2026-01-03T04:51:53Z</dcterms:modified>
</cp:coreProperties>
</file>