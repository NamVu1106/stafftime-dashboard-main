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Mẫu\"/>
    </mc:Choice>
  </mc:AlternateContent>
  <xr:revisionPtr revIDLastSave="0" documentId="13_ncr:1_{8935E8B1-385C-426F-A6CC-3F465749CFC0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Kangatang" sheetId="2" state="veryHidden" r:id="rId1"/>
    <sheet name="TỔN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K1" i="1"/>
  <c r="AG2" i="1"/>
  <c r="AG1" i="1"/>
  <c r="E2" i="1"/>
  <c r="AF1" i="1"/>
  <c r="AF2" i="1"/>
  <c r="L2" i="1"/>
  <c r="L1" i="1"/>
  <c r="R2" i="1"/>
  <c r="R1" i="1"/>
  <c r="S1" i="1"/>
  <c r="S2" i="1"/>
  <c r="Y1" i="1"/>
  <c r="Y2" i="1"/>
  <c r="Z1" i="1"/>
  <c r="Z2" i="1"/>
  <c r="D1" i="1"/>
  <c r="D2" i="1"/>
  <c r="K2" i="1"/>
  <c r="AE1" i="1"/>
  <c r="AE2" i="1"/>
  <c r="F1" i="1"/>
  <c r="F2" i="1"/>
  <c r="U2" i="1"/>
  <c r="U1" i="1"/>
  <c r="P2" i="1"/>
  <c r="P1" i="1"/>
  <c r="X2" i="1"/>
  <c r="X1" i="1"/>
  <c r="G1" i="1"/>
  <c r="G2" i="1"/>
  <c r="J2" i="1"/>
  <c r="J1" i="1"/>
  <c r="W1" i="1"/>
  <c r="W2" i="1"/>
  <c r="H2" i="1"/>
  <c r="H1" i="1"/>
  <c r="O1" i="1"/>
  <c r="O2" i="1"/>
  <c r="I1" i="1"/>
  <c r="I2" i="1"/>
  <c r="T2" i="1"/>
  <c r="T1" i="1"/>
  <c r="V1" i="1"/>
  <c r="V2" i="1"/>
  <c r="M1" i="1"/>
  <c r="M2" i="1"/>
  <c r="AC2" i="1"/>
  <c r="AC1" i="1"/>
  <c r="Q1" i="1"/>
  <c r="Q2" i="1"/>
  <c r="N1" i="1"/>
  <c r="N2" i="1"/>
  <c r="AB2" i="1"/>
  <c r="AB1" i="1"/>
  <c r="AA1" i="1"/>
  <c r="AA2" i="1"/>
  <c r="AD2" i="1"/>
  <c r="AD1" i="1"/>
  <c r="AH1" i="1"/>
  <c r="C2" i="1"/>
  <c r="C1" i="1"/>
</calcChain>
</file>

<file path=xl/sharedStrings.xml><?xml version="1.0" encoding="utf-8"?>
<sst xmlns="http://schemas.openxmlformats.org/spreadsheetml/2006/main" count="19" uniqueCount="18">
  <si>
    <t>Ngày</t>
  </si>
  <si>
    <t>Tổng</t>
  </si>
  <si>
    <t>HQ</t>
  </si>
  <si>
    <t>Thuế TNCN</t>
  </si>
  <si>
    <t>T.T</t>
  </si>
  <si>
    <t>G.T</t>
  </si>
  <si>
    <t>H</t>
  </si>
  <si>
    <t>E</t>
  </si>
  <si>
    <t>Thời vụ</t>
  </si>
  <si>
    <t>Chuyên cần</t>
  </si>
  <si>
    <t>KN</t>
  </si>
  <si>
    <t>Trợ cấp 
trông trẻ</t>
  </si>
  <si>
    <t>BHXH (21%)</t>
  </si>
  <si>
    <t>KPCD-DP (2%)</t>
  </si>
  <si>
    <t>Total</t>
  </si>
  <si>
    <t>CT</t>
  </si>
  <si>
    <t>TV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</si>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</sst>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6" formatCode="[$-409]d\-mmm;@"/>
    <numFmt numFmtId="167" formatCode="_-* #,##0_-;\-* #,##0_-;_-* &quot;-&quot;_-;_-@_-"/>
    <numFmt numFmtId="168" formatCode="_-* #,##0.00_-;\-* #,##0.00_-;_-* &quot;-&quot;??_-;_-@_-"/>
    <numFmt numFmtId="169" formatCode="#,##0.0;;0\ "/>
    <numFmt numFmtId="170" formatCode="[$-409]General"/>
    <numFmt numFmtId="171" formatCode="[$$-409]#,##0.00;[Red]&quot;-&quot;[$$-409]#,##0.00"/>
    <numFmt numFmtId="172" formatCode="_-* #,##0.00\ _с_о_м_-;\-* #,##0.00\ _с_о_м_-;_-* &quot;-&quot;??\ _с_о_м_-;_-@_-"/>
    <numFmt numFmtId="173" formatCode="_-* #,##0\ _₫_-;\-* #,##0\ _₫_-;_-* &quot;-&quot;??\ _₫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charset val="129"/>
      <scheme val="minor"/>
    </font>
    <font>
      <sz val="12"/>
      <name val=".VnTime"/>
      <family val="2"/>
    </font>
    <font>
      <sz val="10"/>
      <name val="Arial"/>
      <family val="2"/>
    </font>
    <font>
      <sz val="11"/>
      <color indexed="8"/>
      <name val="Calibri"/>
      <family val="3"/>
      <charset val="129"/>
      <scheme val="minor"/>
    </font>
    <font>
      <sz val="12"/>
      <color theme="1"/>
      <name val="Times New Roman"/>
      <family val="2"/>
    </font>
    <font>
      <sz val="10"/>
      <color indexed="15"/>
      <name val="Arial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0"/>
      <color theme="1"/>
      <name val="Calibri"/>
      <family val="3"/>
      <charset val="129"/>
      <scheme val="minor"/>
    </font>
    <font>
      <sz val="10"/>
      <color theme="0"/>
      <name val="Calibri"/>
      <family val="3"/>
      <charset val="129"/>
      <scheme val="minor"/>
    </font>
    <font>
      <sz val="14"/>
      <color theme="1"/>
      <name val="Calibri"/>
      <family val="3"/>
      <charset val="129"/>
      <scheme val="minor"/>
    </font>
    <font>
      <sz val="11"/>
      <color rgb="FF000000"/>
      <name val="Calibri"/>
      <family val="2"/>
      <charset val="163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  <charset val="163"/>
    </font>
    <font>
      <sz val="11"/>
      <color rgb="FF000000"/>
      <name val="Arial"/>
      <family val="2"/>
      <charset val="163"/>
    </font>
    <font>
      <sz val="10"/>
      <color indexed="72"/>
      <name val="Arial"/>
      <family val="2"/>
    </font>
    <font>
      <sz val="11"/>
      <color indexed="15"/>
      <name val="Calibri"/>
      <family val="2"/>
    </font>
    <font>
      <sz val="10"/>
      <color theme="1"/>
      <name val="Calibri"/>
      <family val="2"/>
      <scheme val="minor"/>
    </font>
    <font>
      <b/>
      <i/>
      <u/>
      <sz val="11"/>
      <color rgb="FF000000"/>
      <name val="Arial"/>
      <family val="2"/>
      <charset val="163"/>
    </font>
    <font>
      <sz val="10"/>
      <color rgb="FFFF0000"/>
      <name val="Calibri"/>
      <family val="3"/>
      <charset val="129"/>
      <scheme val="minor"/>
    </font>
    <font>
      <b/>
      <sz val="10"/>
      <color rgb="FFFA7D00"/>
      <name val="Calibri"/>
      <family val="3"/>
      <charset val="129"/>
      <scheme val="minor"/>
    </font>
    <font>
      <sz val="10"/>
      <color rgb="FF9C0006"/>
      <name val="Calibri"/>
      <family val="3"/>
      <charset val="129"/>
      <scheme val="minor"/>
    </font>
    <font>
      <sz val="11"/>
      <color theme="1"/>
      <name val="굴림"/>
      <family val="2"/>
      <charset val="129"/>
    </font>
    <font>
      <sz val="10"/>
      <color rgb="FF9C6500"/>
      <name val="Calibri"/>
      <family val="3"/>
      <charset val="129"/>
      <scheme val="minor"/>
    </font>
    <font>
      <i/>
      <sz val="10"/>
      <color rgb="FF7F7F7F"/>
      <name val="Calibri"/>
      <family val="3"/>
      <charset val="129"/>
      <scheme val="minor"/>
    </font>
    <font>
      <b/>
      <sz val="10"/>
      <color theme="0"/>
      <name val="Calibri"/>
      <family val="3"/>
      <charset val="129"/>
      <scheme val="minor"/>
    </font>
    <font>
      <sz val="11"/>
      <color theme="1"/>
      <name val="Calibri"/>
      <family val="2"/>
      <charset val="204"/>
      <scheme val="minor"/>
    </font>
    <font>
      <sz val="10"/>
      <color rgb="FFFA7D00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rgb="FF3F3F76"/>
      <name val="Calibri"/>
      <family val="3"/>
      <charset val="129"/>
      <scheme val="min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sz val="10"/>
      <color rgb="FF006100"/>
      <name val="Calibri"/>
      <family val="3"/>
      <charset val="129"/>
      <scheme val="minor"/>
    </font>
    <font>
      <b/>
      <sz val="10"/>
      <color rgb="FF3F3F3F"/>
      <name val="Calibri"/>
      <family val="3"/>
      <charset val="129"/>
      <scheme val="minor"/>
    </font>
    <font>
      <sz val="11"/>
      <name val="굴림"/>
      <family val="3"/>
      <charset val="129"/>
    </font>
    <font>
      <sz val="11"/>
      <name val="돋움"/>
      <family val="3"/>
      <charset val="129"/>
    </font>
    <font>
      <sz val="11"/>
      <color theme="1"/>
      <name val="Calibri"/>
      <family val="2"/>
      <charset val="163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2"/>
    </font>
  </fonts>
  <fills count="3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7" fontId="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5" fillId="0" borderId="0" applyFont="0" applyFill="0" applyBorder="0" applyAlignment="0" applyProtection="0"/>
    <xf numFmtId="0" fontId="6" fillId="0" borderId="0"/>
    <xf numFmtId="167" fontId="5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  <xf numFmtId="0" fontId="8" fillId="0" borderId="0"/>
    <xf numFmtId="0" fontId="7" fillId="0" borderId="0"/>
    <xf numFmtId="0" fontId="9" fillId="0" borderId="0"/>
    <xf numFmtId="0" fontId="4" fillId="0" borderId="0">
      <alignment vertical="center"/>
    </xf>
    <xf numFmtId="0" fontId="1" fillId="0" borderId="0"/>
    <xf numFmtId="0" fontId="9" fillId="0" borderId="0"/>
    <xf numFmtId="0" fontId="10" fillId="0" borderId="0"/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167" fontId="11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5" fillId="0" borderId="0" applyFont="0" applyFill="0" applyBorder="0" applyAlignment="0" applyProtection="0">
      <alignment vertical="center"/>
    </xf>
    <xf numFmtId="167" fontId="5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8" fontId="15" fillId="0" borderId="0" applyFont="0" applyFill="0" applyBorder="0" applyAlignment="0" applyProtection="0"/>
    <xf numFmtId="0" fontId="7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2" fontId="10" fillId="0" borderId="0" applyFont="0" applyFill="0" applyBorder="0" applyAlignment="0" applyProtection="0"/>
    <xf numFmtId="170" fontId="16" fillId="0" borderId="0" applyBorder="0" applyProtection="0"/>
    <xf numFmtId="170" fontId="17" fillId="0" borderId="0"/>
    <xf numFmtId="0" fontId="18" fillId="0" borderId="0" applyNumberFormat="0" applyBorder="0" applyProtection="0">
      <alignment horizontal="center"/>
    </xf>
    <xf numFmtId="0" fontId="18" fillId="0" borderId="0" applyNumberFormat="0" applyBorder="0" applyProtection="0">
      <alignment horizontal="center" textRotation="90"/>
    </xf>
    <xf numFmtId="0" fontId="1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43" fillId="0" borderId="0"/>
    <xf numFmtId="0" fontId="7" fillId="0" borderId="0"/>
    <xf numFmtId="0" fontId="7" fillId="0" borderId="0">
      <alignment vertical="center"/>
    </xf>
    <xf numFmtId="0" fontId="11" fillId="0" borderId="0"/>
    <xf numFmtId="0" fontId="8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/>
    <xf numFmtId="0" fontId="19" fillId="0" borderId="0"/>
    <xf numFmtId="0" fontId="3" fillId="0" borderId="0"/>
    <xf numFmtId="0" fontId="8" fillId="0" borderId="0"/>
    <xf numFmtId="0" fontId="8" fillId="0" borderId="0"/>
    <xf numFmtId="0" fontId="20" fillId="0" borderId="0"/>
    <xf numFmtId="0" fontId="1" fillId="0" borderId="0"/>
    <xf numFmtId="0" fontId="8" fillId="0" borderId="0"/>
    <xf numFmtId="0" fontId="12" fillId="0" borderId="0"/>
    <xf numFmtId="0" fontId="21" fillId="0" borderId="0"/>
    <xf numFmtId="0" fontId="22" fillId="0" borderId="0"/>
    <xf numFmtId="0" fontId="7" fillId="0" borderId="0"/>
    <xf numFmtId="0" fontId="7" fillId="0" borderId="0"/>
    <xf numFmtId="0" fontId="1" fillId="0" borderId="0"/>
    <xf numFmtId="0" fontId="12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5" fillId="0" borderId="0">
      <alignment vertical="center"/>
    </xf>
    <xf numFmtId="0" fontId="1" fillId="0" borderId="0"/>
    <xf numFmtId="0" fontId="8" fillId="0" borderId="0"/>
    <xf numFmtId="0" fontId="8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9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0" fontId="23" fillId="0" borderId="0" applyNumberFormat="0" applyBorder="0" applyProtection="0"/>
    <xf numFmtId="171" fontId="23" fillId="0" borderId="0" applyBorder="0" applyProtection="0"/>
    <xf numFmtId="0" fontId="14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13" fillId="12" borderId="10" applyNumberFormat="0" applyFont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9" applyNumberFormat="0" applyAlignment="0" applyProtection="0">
      <alignment vertical="center"/>
    </xf>
    <xf numFmtId="167" fontId="3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2" fontId="3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2" fillId="0" borderId="8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9" borderId="6" applyNumberFormat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10" borderId="7" applyNumberFormat="0" applyAlignment="0" applyProtection="0">
      <alignment vertical="center"/>
    </xf>
    <xf numFmtId="0" fontId="27" fillId="0" borderId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0" fontId="31" fillId="0" borderId="0"/>
    <xf numFmtId="0" fontId="42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170" fontId="16" fillId="0" borderId="0" applyBorder="0" applyProtection="0"/>
    <xf numFmtId="0" fontId="9" fillId="0" borderId="0"/>
    <xf numFmtId="0" fontId="3" fillId="0" borderId="0"/>
    <xf numFmtId="0" fontId="7" fillId="0" borderId="0">
      <alignment vertical="center"/>
    </xf>
    <xf numFmtId="0" fontId="9" fillId="0" borderId="0"/>
    <xf numFmtId="0" fontId="5" fillId="0" borderId="0">
      <alignment vertical="center"/>
    </xf>
    <xf numFmtId="0" fontId="5" fillId="0" borderId="0"/>
    <xf numFmtId="0" fontId="45" fillId="0" borderId="0"/>
  </cellStyleXfs>
  <cellXfs count="18">
    <xf numFmtId="0" fontId="0" fillId="0" borderId="0" xfId="0"/>
    <xf numFmtId="165" fontId="0" fillId="0" borderId="0" xfId="1" applyNumberFormat="1" applyFont="1"/>
    <xf numFmtId="166" fontId="2" fillId="2" borderId="1" xfId="0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65" fontId="2" fillId="4" borderId="1" xfId="1" applyNumberFormat="1" applyFont="1" applyFill="1" applyBorder="1"/>
    <xf numFmtId="165" fontId="0" fillId="0" borderId="0" xfId="0" applyNumberFormat="1"/>
    <xf numFmtId="0" fontId="2" fillId="5" borderId="2" xfId="0" applyFont="1" applyFill="1" applyBorder="1" applyAlignment="1">
      <alignment horizontal="center"/>
    </xf>
    <xf numFmtId="165" fontId="0" fillId="5" borderId="0" xfId="1" applyNumberFormat="1" applyFont="1" applyFill="1"/>
    <xf numFmtId="165" fontId="0" fillId="0" borderId="1" xfId="1" applyNumberFormat="1" applyFont="1" applyBorder="1" applyAlignment="1">
      <alignment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5" fontId="0" fillId="37" borderId="0" xfId="0" applyNumberFormat="1" applyFill="1"/>
    <xf numFmtId="173" fontId="44" fillId="0" borderId="1" xfId="1" applyNumberFormat="1" applyFont="1" applyBorder="1" applyAlignment="1">
      <alignment vertical="center"/>
    </xf>
    <xf numFmtId="173" fontId="0" fillId="0" borderId="1" xfId="1" applyNumberFormat="1" applyFont="1" applyBorder="1" applyAlignment="1">
      <alignment vertical="center"/>
    </xf>
  </cellXfs>
  <cellStyles count="407">
    <cellStyle name="20% - 강조색1 2" xfId="20" xr:uid="{00000000-0005-0000-0000-000000000000}"/>
    <cellStyle name="20% - 강조색2 2" xfId="21" xr:uid="{00000000-0005-0000-0000-000001000000}"/>
    <cellStyle name="20% - 강조색3 2" xfId="22" xr:uid="{00000000-0005-0000-0000-000002000000}"/>
    <cellStyle name="20% - 강조색4 2" xfId="23" xr:uid="{00000000-0005-0000-0000-000003000000}"/>
    <cellStyle name="20% - 강조색5 2" xfId="24" xr:uid="{00000000-0005-0000-0000-000004000000}"/>
    <cellStyle name="20% - 강조색6 2" xfId="25" xr:uid="{00000000-0005-0000-0000-000005000000}"/>
    <cellStyle name="40% - 강조색1 2" xfId="26" xr:uid="{00000000-0005-0000-0000-000006000000}"/>
    <cellStyle name="40% - 강조색2 2" xfId="27" xr:uid="{00000000-0005-0000-0000-000007000000}"/>
    <cellStyle name="40% - 강조색3 2" xfId="28" xr:uid="{00000000-0005-0000-0000-000008000000}"/>
    <cellStyle name="40% - 강조색4 2" xfId="29" xr:uid="{00000000-0005-0000-0000-000009000000}"/>
    <cellStyle name="40% - 강조색5 2" xfId="30" xr:uid="{00000000-0005-0000-0000-00000A000000}"/>
    <cellStyle name="40% - 강조색6 2" xfId="31" xr:uid="{00000000-0005-0000-0000-00000B000000}"/>
    <cellStyle name="60% - 강조색1 2" xfId="32" xr:uid="{00000000-0005-0000-0000-00000C000000}"/>
    <cellStyle name="60% - 강조색2 2" xfId="33" xr:uid="{00000000-0005-0000-0000-00000D000000}"/>
    <cellStyle name="60% - 강조색3 2" xfId="34" xr:uid="{00000000-0005-0000-0000-00000E000000}"/>
    <cellStyle name="60% - 강조색4 2" xfId="35" xr:uid="{00000000-0005-0000-0000-00000F000000}"/>
    <cellStyle name="60% - 강조색5 2" xfId="36" xr:uid="{00000000-0005-0000-0000-000010000000}"/>
    <cellStyle name="60% - 강조색6 2" xfId="37" xr:uid="{00000000-0005-0000-0000-000011000000}"/>
    <cellStyle name="Comma" xfId="1" builtinId="3"/>
    <cellStyle name="Comma [0] 2" xfId="9" xr:uid="{00000000-0005-0000-0000-000013000000}"/>
    <cellStyle name="Comma [0] 2 2" xfId="38" xr:uid="{00000000-0005-0000-0000-000014000000}"/>
    <cellStyle name="Comma [0] 2 2 2" xfId="39" xr:uid="{00000000-0005-0000-0000-000015000000}"/>
    <cellStyle name="Comma [0] 2 2 2 2" xfId="40" xr:uid="{00000000-0005-0000-0000-000016000000}"/>
    <cellStyle name="Comma [0] 2 2 3" xfId="41" xr:uid="{00000000-0005-0000-0000-000017000000}"/>
    <cellStyle name="Comma [0] 2 3" xfId="42" xr:uid="{00000000-0005-0000-0000-000018000000}"/>
    <cellStyle name="Comma [0] 2 4" xfId="43" xr:uid="{00000000-0005-0000-0000-000019000000}"/>
    <cellStyle name="Comma [0] 3" xfId="44" xr:uid="{00000000-0005-0000-0000-00001A000000}"/>
    <cellStyle name="Comma [0] 3 2" xfId="45" xr:uid="{00000000-0005-0000-0000-00001B000000}"/>
    <cellStyle name="Comma [0] 3 3" xfId="46" xr:uid="{00000000-0005-0000-0000-00001C000000}"/>
    <cellStyle name="Comma [0] 4" xfId="47" xr:uid="{00000000-0005-0000-0000-00001D000000}"/>
    <cellStyle name="Comma [0] 4 2" xfId="48" xr:uid="{00000000-0005-0000-0000-00001E000000}"/>
    <cellStyle name="Comma [0] 4 2 2" xfId="49" xr:uid="{00000000-0005-0000-0000-00001F000000}"/>
    <cellStyle name="Comma [0] 4 3" xfId="50" xr:uid="{00000000-0005-0000-0000-000020000000}"/>
    <cellStyle name="Comma [0] 5" xfId="51" xr:uid="{00000000-0005-0000-0000-000021000000}"/>
    <cellStyle name="Comma [0] 5 2" xfId="52" xr:uid="{00000000-0005-0000-0000-000022000000}"/>
    <cellStyle name="Comma [0] 6" xfId="3" xr:uid="{00000000-0005-0000-0000-000023000000}"/>
    <cellStyle name="Comma [0] 6 2" xfId="53" xr:uid="{00000000-0005-0000-0000-000024000000}"/>
    <cellStyle name="Comma [0] 6 2 2" xfId="54" xr:uid="{00000000-0005-0000-0000-000025000000}"/>
    <cellStyle name="Comma [0] 6 3" xfId="55" xr:uid="{00000000-0005-0000-0000-000026000000}"/>
    <cellStyle name="Comma [0] 7" xfId="56" xr:uid="{00000000-0005-0000-0000-000027000000}"/>
    <cellStyle name="Comma [0] 7 2" xfId="57" xr:uid="{00000000-0005-0000-0000-000028000000}"/>
    <cellStyle name="Comma [0] 8" xfId="7" xr:uid="{00000000-0005-0000-0000-000029000000}"/>
    <cellStyle name="Comma [0] 9" xfId="8" xr:uid="{00000000-0005-0000-0000-00002A000000}"/>
    <cellStyle name="Comma 10" xfId="58" xr:uid="{00000000-0005-0000-0000-00002B000000}"/>
    <cellStyle name="Comma 11" xfId="59" xr:uid="{00000000-0005-0000-0000-00002C000000}"/>
    <cellStyle name="Comma 12" xfId="60" xr:uid="{00000000-0005-0000-0000-00002D000000}"/>
    <cellStyle name="Comma 12 2" xfId="61" xr:uid="{00000000-0005-0000-0000-00002E000000}"/>
    <cellStyle name="Comma 12 3" xfId="62" xr:uid="{00000000-0005-0000-0000-00002F000000}"/>
    <cellStyle name="Comma 13" xfId="63" xr:uid="{00000000-0005-0000-0000-000030000000}"/>
    <cellStyle name="Comma 14" xfId="64" xr:uid="{00000000-0005-0000-0000-000031000000}"/>
    <cellStyle name="Comma 14 2" xfId="65" xr:uid="{00000000-0005-0000-0000-000032000000}"/>
    <cellStyle name="Comma 15" xfId="66" xr:uid="{00000000-0005-0000-0000-000033000000}"/>
    <cellStyle name="Comma 15 2" xfId="67" xr:uid="{00000000-0005-0000-0000-000034000000}"/>
    <cellStyle name="Comma 16" xfId="5" xr:uid="{00000000-0005-0000-0000-000035000000}"/>
    <cellStyle name="Comma 2" xfId="68" xr:uid="{00000000-0005-0000-0000-000036000000}"/>
    <cellStyle name="Comma 2 2" xfId="69" xr:uid="{00000000-0005-0000-0000-000037000000}"/>
    <cellStyle name="Comma 2 2 2" xfId="70" xr:uid="{00000000-0005-0000-0000-000038000000}"/>
    <cellStyle name="Comma 2 3" xfId="71" xr:uid="{00000000-0005-0000-0000-000039000000}"/>
    <cellStyle name="Comma 2 4" xfId="72" xr:uid="{00000000-0005-0000-0000-00003A000000}"/>
    <cellStyle name="Comma 3" xfId="73" xr:uid="{00000000-0005-0000-0000-00003B000000}"/>
    <cellStyle name="Comma 3 2" xfId="74" xr:uid="{00000000-0005-0000-0000-00003C000000}"/>
    <cellStyle name="Comma 4" xfId="75" xr:uid="{00000000-0005-0000-0000-00003D000000}"/>
    <cellStyle name="Comma 4 2" xfId="76" xr:uid="{00000000-0005-0000-0000-00003E000000}"/>
    <cellStyle name="Comma 4 2 2" xfId="77" xr:uid="{00000000-0005-0000-0000-00003F000000}"/>
    <cellStyle name="Comma 4 3" xfId="78" xr:uid="{00000000-0005-0000-0000-000040000000}"/>
    <cellStyle name="Comma 5" xfId="79" xr:uid="{00000000-0005-0000-0000-000041000000}"/>
    <cellStyle name="Comma 5 2" xfId="80" xr:uid="{00000000-0005-0000-0000-000042000000}"/>
    <cellStyle name="Comma 5 2 2" xfId="81" xr:uid="{00000000-0005-0000-0000-000043000000}"/>
    <cellStyle name="Comma 5 3" xfId="82" xr:uid="{00000000-0005-0000-0000-000044000000}"/>
    <cellStyle name="Comma 6" xfId="83" xr:uid="{00000000-0005-0000-0000-000045000000}"/>
    <cellStyle name="Comma 7" xfId="84" xr:uid="{00000000-0005-0000-0000-000046000000}"/>
    <cellStyle name="Comma 8" xfId="85" xr:uid="{00000000-0005-0000-0000-000047000000}"/>
    <cellStyle name="Comma 9" xfId="86" xr:uid="{00000000-0005-0000-0000-000048000000}"/>
    <cellStyle name="Currency [0] 2" xfId="87" xr:uid="{00000000-0005-0000-0000-000049000000}"/>
    <cellStyle name="Excel Built-in Normal" xfId="88" xr:uid="{00000000-0005-0000-0000-00004A000000}"/>
    <cellStyle name="Excel Built-in Normal 3" xfId="89" xr:uid="{00000000-0005-0000-0000-00004B000000}"/>
    <cellStyle name="Excel Built-in Normal 4" xfId="399" xr:uid="{00000000-0005-0000-0000-00004C000000}"/>
    <cellStyle name="Heading" xfId="90" xr:uid="{00000000-0005-0000-0000-00004D000000}"/>
    <cellStyle name="Heading1" xfId="91" xr:uid="{00000000-0005-0000-0000-00004E000000}"/>
    <cellStyle name="Normal" xfId="0" builtinId="0"/>
    <cellStyle name="Normal 10" xfId="92" xr:uid="{00000000-0005-0000-0000-000050000000}"/>
    <cellStyle name="Normal 10 2" xfId="93" xr:uid="{00000000-0005-0000-0000-000051000000}"/>
    <cellStyle name="Normal 100" xfId="94" xr:uid="{00000000-0005-0000-0000-000052000000}"/>
    <cellStyle name="Normal 100 2" xfId="95" xr:uid="{00000000-0005-0000-0000-000053000000}"/>
    <cellStyle name="Normal 101" xfId="96" xr:uid="{00000000-0005-0000-0000-000054000000}"/>
    <cellStyle name="Normal 101 2" xfId="97" xr:uid="{00000000-0005-0000-0000-000055000000}"/>
    <cellStyle name="Normal 102" xfId="98" xr:uid="{00000000-0005-0000-0000-000056000000}"/>
    <cellStyle name="Normal 102 2" xfId="99" xr:uid="{00000000-0005-0000-0000-000057000000}"/>
    <cellStyle name="Normal 103" xfId="100" xr:uid="{00000000-0005-0000-0000-000058000000}"/>
    <cellStyle name="Normal 104" xfId="101" xr:uid="{00000000-0005-0000-0000-000059000000}"/>
    <cellStyle name="Normal 104 2" xfId="102" xr:uid="{00000000-0005-0000-0000-00005A000000}"/>
    <cellStyle name="Normal 105" xfId="103" xr:uid="{00000000-0005-0000-0000-00005B000000}"/>
    <cellStyle name="Normal 105 2" xfId="104" xr:uid="{00000000-0005-0000-0000-00005C000000}"/>
    <cellStyle name="Normal 106" xfId="105" xr:uid="{00000000-0005-0000-0000-00005D000000}"/>
    <cellStyle name="Normal 106 2" xfId="106" xr:uid="{00000000-0005-0000-0000-00005E000000}"/>
    <cellStyle name="Normal 107" xfId="107" xr:uid="{00000000-0005-0000-0000-00005F000000}"/>
    <cellStyle name="Normal 107 2" xfId="108" xr:uid="{00000000-0005-0000-0000-000060000000}"/>
    <cellStyle name="Normal 108" xfId="109" xr:uid="{00000000-0005-0000-0000-000061000000}"/>
    <cellStyle name="Normal 108 2" xfId="110" xr:uid="{00000000-0005-0000-0000-000062000000}"/>
    <cellStyle name="Normal 11" xfId="111" xr:uid="{00000000-0005-0000-0000-000063000000}"/>
    <cellStyle name="Normal 11 2" xfId="112" xr:uid="{00000000-0005-0000-0000-000064000000}"/>
    <cellStyle name="Normal 11 3" xfId="400" xr:uid="{00000000-0005-0000-0000-000065000000}"/>
    <cellStyle name="Normal 110" xfId="113" xr:uid="{00000000-0005-0000-0000-000066000000}"/>
    <cellStyle name="Normal 110 2" xfId="114" xr:uid="{00000000-0005-0000-0000-000067000000}"/>
    <cellStyle name="Normal 111" xfId="115" xr:uid="{00000000-0005-0000-0000-000068000000}"/>
    <cellStyle name="Normal 111 2" xfId="116" xr:uid="{00000000-0005-0000-0000-000069000000}"/>
    <cellStyle name="Normal 12" xfId="117" xr:uid="{00000000-0005-0000-0000-00006A000000}"/>
    <cellStyle name="Normal 12 2" xfId="11" xr:uid="{00000000-0005-0000-0000-00006B000000}"/>
    <cellStyle name="Normal 12 3" xfId="118" xr:uid="{00000000-0005-0000-0000-00006C000000}"/>
    <cellStyle name="Normal 12 3 2" xfId="119" xr:uid="{00000000-0005-0000-0000-00006D000000}"/>
    <cellStyle name="Normal 12 3 3" xfId="120" xr:uid="{00000000-0005-0000-0000-00006E000000}"/>
    <cellStyle name="Normal 12 4" xfId="121" xr:uid="{00000000-0005-0000-0000-00006F000000}"/>
    <cellStyle name="Normal 124" xfId="406" xr:uid="{00000000-0005-0000-0000-000070000000}"/>
    <cellStyle name="Normal 13" xfId="122" xr:uid="{00000000-0005-0000-0000-000071000000}"/>
    <cellStyle name="Normal 14" xfId="123" xr:uid="{00000000-0005-0000-0000-000072000000}"/>
    <cellStyle name="Normal 14 2" xfId="124" xr:uid="{00000000-0005-0000-0000-000073000000}"/>
    <cellStyle name="Normal 15" xfId="14" xr:uid="{00000000-0005-0000-0000-000074000000}"/>
    <cellStyle name="Normal 15 2" xfId="126" xr:uid="{00000000-0005-0000-0000-000075000000}"/>
    <cellStyle name="Normal 16" xfId="127" xr:uid="{00000000-0005-0000-0000-000076000000}"/>
    <cellStyle name="Normal 16 2" xfId="128" xr:uid="{00000000-0005-0000-0000-000077000000}"/>
    <cellStyle name="Normal 17" xfId="17" xr:uid="{00000000-0005-0000-0000-000078000000}"/>
    <cellStyle name="Normal 17 2" xfId="15" xr:uid="{00000000-0005-0000-0000-000079000000}"/>
    <cellStyle name="Normal 18" xfId="13" xr:uid="{00000000-0005-0000-0000-00007A000000}"/>
    <cellStyle name="Normal 18 2" xfId="129" xr:uid="{00000000-0005-0000-0000-00007B000000}"/>
    <cellStyle name="Normal 19" xfId="130" xr:uid="{00000000-0005-0000-0000-00007C000000}"/>
    <cellStyle name="Normal 2" xfId="2" xr:uid="{00000000-0005-0000-0000-00007D000000}"/>
    <cellStyle name="Normal 2 10" xfId="131" xr:uid="{00000000-0005-0000-0000-00007E000000}"/>
    <cellStyle name="Normal 2 10 2" xfId="132" xr:uid="{00000000-0005-0000-0000-00007F000000}"/>
    <cellStyle name="Normal 2 11" xfId="133" xr:uid="{00000000-0005-0000-0000-000080000000}"/>
    <cellStyle name="Normal 2 11 2" xfId="134" xr:uid="{00000000-0005-0000-0000-000081000000}"/>
    <cellStyle name="Normal 2 12" xfId="135" xr:uid="{00000000-0005-0000-0000-000082000000}"/>
    <cellStyle name="Normal 2 12 2" xfId="136" xr:uid="{00000000-0005-0000-0000-000083000000}"/>
    <cellStyle name="Normal 2 13" xfId="137" xr:uid="{00000000-0005-0000-0000-000084000000}"/>
    <cellStyle name="Normal 2 13 2" xfId="138" xr:uid="{00000000-0005-0000-0000-000085000000}"/>
    <cellStyle name="Normal 2 14" xfId="139" xr:uid="{00000000-0005-0000-0000-000086000000}"/>
    <cellStyle name="Normal 2 14 2" xfId="10" xr:uid="{00000000-0005-0000-0000-000087000000}"/>
    <cellStyle name="Normal 2 14 3" xfId="140" xr:uid="{00000000-0005-0000-0000-000088000000}"/>
    <cellStyle name="Normal 2 14 4" xfId="141" xr:uid="{00000000-0005-0000-0000-000089000000}"/>
    <cellStyle name="Normal 2 15" xfId="142" xr:uid="{00000000-0005-0000-0000-00008A000000}"/>
    <cellStyle name="Normal 2 2" xfId="143" xr:uid="{00000000-0005-0000-0000-00008B000000}"/>
    <cellStyle name="Normal 2 2 2" xfId="144" xr:uid="{00000000-0005-0000-0000-00008C000000}"/>
    <cellStyle name="Normal 2 2 2 2" xfId="145" xr:uid="{00000000-0005-0000-0000-00008D000000}"/>
    <cellStyle name="Normal 2 2 2 3" xfId="401" xr:uid="{00000000-0005-0000-0000-00008E000000}"/>
    <cellStyle name="Normal 2 2 3" xfId="146" xr:uid="{00000000-0005-0000-0000-00008F000000}"/>
    <cellStyle name="Normal 2 2 3 2" xfId="147" xr:uid="{00000000-0005-0000-0000-000090000000}"/>
    <cellStyle name="Normal 2 2 4" xfId="148" xr:uid="{00000000-0005-0000-0000-000091000000}"/>
    <cellStyle name="Normal 2 2 5" xfId="149" xr:uid="{00000000-0005-0000-0000-000092000000}"/>
    <cellStyle name="Normal 2 2_2월급여(NV) (2)" xfId="150" xr:uid="{00000000-0005-0000-0000-000093000000}"/>
    <cellStyle name="Normal 2 25 2 2" xfId="151" xr:uid="{00000000-0005-0000-0000-000094000000}"/>
    <cellStyle name="Normal 2 3" xfId="6" xr:uid="{00000000-0005-0000-0000-000095000000}"/>
    <cellStyle name="Normal 2 3 2" xfId="152" xr:uid="{00000000-0005-0000-0000-000096000000}"/>
    <cellStyle name="Normal 2 3 2 2" xfId="153" xr:uid="{00000000-0005-0000-0000-000097000000}"/>
    <cellStyle name="Normal 2 3 2 3" xfId="154" xr:uid="{00000000-0005-0000-0000-000098000000}"/>
    <cellStyle name="Normal 2 3 3" xfId="155" xr:uid="{00000000-0005-0000-0000-000099000000}"/>
    <cellStyle name="Normal 2 3 4 2" xfId="156" xr:uid="{00000000-0005-0000-0000-00009A000000}"/>
    <cellStyle name="Normal 2 4" xfId="157" xr:uid="{00000000-0005-0000-0000-00009B000000}"/>
    <cellStyle name="Normal 2 5" xfId="158" xr:uid="{00000000-0005-0000-0000-00009C000000}"/>
    <cellStyle name="Normal 2 5 2" xfId="159" xr:uid="{00000000-0005-0000-0000-00009D000000}"/>
    <cellStyle name="Normal 2 6" xfId="160" xr:uid="{00000000-0005-0000-0000-00009E000000}"/>
    <cellStyle name="Normal 2 6 2" xfId="161" xr:uid="{00000000-0005-0000-0000-00009F000000}"/>
    <cellStyle name="Normal 2 7" xfId="162" xr:uid="{00000000-0005-0000-0000-0000A0000000}"/>
    <cellStyle name="Normal 2 7 2" xfId="163" xr:uid="{00000000-0005-0000-0000-0000A1000000}"/>
    <cellStyle name="Normal 2 8" xfId="164" xr:uid="{00000000-0005-0000-0000-0000A2000000}"/>
    <cellStyle name="Normal 2 8 2" xfId="165" xr:uid="{00000000-0005-0000-0000-0000A3000000}"/>
    <cellStyle name="Normal 2 9" xfId="166" xr:uid="{00000000-0005-0000-0000-0000A4000000}"/>
    <cellStyle name="Normal 2 9 2" xfId="167" xr:uid="{00000000-0005-0000-0000-0000A5000000}"/>
    <cellStyle name="Normal 20" xfId="125" xr:uid="{00000000-0005-0000-0000-0000A6000000}"/>
    <cellStyle name="Normal 23" xfId="168" xr:uid="{00000000-0005-0000-0000-0000A7000000}"/>
    <cellStyle name="Normal 23 2" xfId="169" xr:uid="{00000000-0005-0000-0000-0000A8000000}"/>
    <cellStyle name="Normal 24" xfId="170" xr:uid="{00000000-0005-0000-0000-0000A9000000}"/>
    <cellStyle name="Normal 24 2" xfId="171" xr:uid="{00000000-0005-0000-0000-0000AA000000}"/>
    <cellStyle name="Normal 25" xfId="172" xr:uid="{00000000-0005-0000-0000-0000AB000000}"/>
    <cellStyle name="Normal 25 2" xfId="173" xr:uid="{00000000-0005-0000-0000-0000AC000000}"/>
    <cellStyle name="Normal 26" xfId="174" xr:uid="{00000000-0005-0000-0000-0000AD000000}"/>
    <cellStyle name="Normal 26 2" xfId="175" xr:uid="{00000000-0005-0000-0000-0000AE000000}"/>
    <cellStyle name="Normal 27" xfId="176" xr:uid="{00000000-0005-0000-0000-0000AF000000}"/>
    <cellStyle name="Normal 27 2" xfId="177" xr:uid="{00000000-0005-0000-0000-0000B0000000}"/>
    <cellStyle name="Normal 28" xfId="178" xr:uid="{00000000-0005-0000-0000-0000B1000000}"/>
    <cellStyle name="Normal 28 2" xfId="179" xr:uid="{00000000-0005-0000-0000-0000B2000000}"/>
    <cellStyle name="Normal 29" xfId="180" xr:uid="{00000000-0005-0000-0000-0000B3000000}"/>
    <cellStyle name="Normal 29 2" xfId="181" xr:uid="{00000000-0005-0000-0000-0000B4000000}"/>
    <cellStyle name="Normal 3" xfId="4" xr:uid="{00000000-0005-0000-0000-0000B5000000}"/>
    <cellStyle name="Normal 3 2" xfId="182" xr:uid="{00000000-0005-0000-0000-0000B6000000}"/>
    <cellStyle name="Normal 3 2 3" xfId="183" xr:uid="{00000000-0005-0000-0000-0000B7000000}"/>
    <cellStyle name="Normal 3 3" xfId="18" xr:uid="{00000000-0005-0000-0000-0000B8000000}"/>
    <cellStyle name="Normal 3 3 2" xfId="403" xr:uid="{00000000-0005-0000-0000-0000B9000000}"/>
    <cellStyle name="Normal 3 3 3" xfId="404" xr:uid="{00000000-0005-0000-0000-0000BA000000}"/>
    <cellStyle name="Normal 3 3 4" xfId="184" xr:uid="{00000000-0005-0000-0000-0000BB000000}"/>
    <cellStyle name="Normal 3 4" xfId="185" xr:uid="{00000000-0005-0000-0000-0000BC000000}"/>
    <cellStyle name="Normal 30" xfId="186" xr:uid="{00000000-0005-0000-0000-0000BD000000}"/>
    <cellStyle name="Normal 30 2" xfId="187" xr:uid="{00000000-0005-0000-0000-0000BE000000}"/>
    <cellStyle name="Normal 30 3" xfId="188" xr:uid="{00000000-0005-0000-0000-0000BF000000}"/>
    <cellStyle name="Normal 31" xfId="189" xr:uid="{00000000-0005-0000-0000-0000C0000000}"/>
    <cellStyle name="Normal 31 2" xfId="190" xr:uid="{00000000-0005-0000-0000-0000C1000000}"/>
    <cellStyle name="Normal 32" xfId="191" xr:uid="{00000000-0005-0000-0000-0000C2000000}"/>
    <cellStyle name="Normal 32 2" xfId="192" xr:uid="{00000000-0005-0000-0000-0000C3000000}"/>
    <cellStyle name="Normal 33" xfId="193" xr:uid="{00000000-0005-0000-0000-0000C4000000}"/>
    <cellStyle name="Normal 33 2" xfId="194" xr:uid="{00000000-0005-0000-0000-0000C5000000}"/>
    <cellStyle name="Normal 34" xfId="195" xr:uid="{00000000-0005-0000-0000-0000C6000000}"/>
    <cellStyle name="Normal 34 2" xfId="196" xr:uid="{00000000-0005-0000-0000-0000C7000000}"/>
    <cellStyle name="Normal 35" xfId="197" xr:uid="{00000000-0005-0000-0000-0000C8000000}"/>
    <cellStyle name="Normal 35 2" xfId="198" xr:uid="{00000000-0005-0000-0000-0000C9000000}"/>
    <cellStyle name="Normal 36" xfId="199" xr:uid="{00000000-0005-0000-0000-0000CA000000}"/>
    <cellStyle name="Normal 36 2" xfId="200" xr:uid="{00000000-0005-0000-0000-0000CB000000}"/>
    <cellStyle name="Normal 37" xfId="201" xr:uid="{00000000-0005-0000-0000-0000CC000000}"/>
    <cellStyle name="Normal 37 2" xfId="202" xr:uid="{00000000-0005-0000-0000-0000CD000000}"/>
    <cellStyle name="Normal 38" xfId="203" xr:uid="{00000000-0005-0000-0000-0000CE000000}"/>
    <cellStyle name="Normal 38 2" xfId="204" xr:uid="{00000000-0005-0000-0000-0000CF000000}"/>
    <cellStyle name="Normal 39" xfId="205" xr:uid="{00000000-0005-0000-0000-0000D0000000}"/>
    <cellStyle name="Normal 39 2" xfId="206" xr:uid="{00000000-0005-0000-0000-0000D1000000}"/>
    <cellStyle name="Normal 4" xfId="207" xr:uid="{00000000-0005-0000-0000-0000D2000000}"/>
    <cellStyle name="Normal 4 2" xfId="208" xr:uid="{00000000-0005-0000-0000-0000D3000000}"/>
    <cellStyle name="Normal 4 3" xfId="209" xr:uid="{00000000-0005-0000-0000-0000D4000000}"/>
    <cellStyle name="Normal 4 4" xfId="210" xr:uid="{00000000-0005-0000-0000-0000D5000000}"/>
    <cellStyle name="Normal 4 4 2" xfId="211" xr:uid="{00000000-0005-0000-0000-0000D6000000}"/>
    <cellStyle name="Normal 4 4 3" xfId="212" xr:uid="{00000000-0005-0000-0000-0000D7000000}"/>
    <cellStyle name="Normal 4 4 4" xfId="213" xr:uid="{00000000-0005-0000-0000-0000D8000000}"/>
    <cellStyle name="Normal 4 5" xfId="214" xr:uid="{00000000-0005-0000-0000-0000D9000000}"/>
    <cellStyle name="Normal 40" xfId="215" xr:uid="{00000000-0005-0000-0000-0000DA000000}"/>
    <cellStyle name="Normal 40 2" xfId="216" xr:uid="{00000000-0005-0000-0000-0000DB000000}"/>
    <cellStyle name="Normal 41" xfId="217" xr:uid="{00000000-0005-0000-0000-0000DC000000}"/>
    <cellStyle name="Normal 41 2" xfId="218" xr:uid="{00000000-0005-0000-0000-0000DD000000}"/>
    <cellStyle name="Normal 42" xfId="219" xr:uid="{00000000-0005-0000-0000-0000DE000000}"/>
    <cellStyle name="Normal 42 2" xfId="220" xr:uid="{00000000-0005-0000-0000-0000DF000000}"/>
    <cellStyle name="Normal 43" xfId="221" xr:uid="{00000000-0005-0000-0000-0000E0000000}"/>
    <cellStyle name="Normal 43 2" xfId="222" xr:uid="{00000000-0005-0000-0000-0000E1000000}"/>
    <cellStyle name="Normal 44" xfId="223" xr:uid="{00000000-0005-0000-0000-0000E2000000}"/>
    <cellStyle name="Normal 44 2" xfId="224" xr:uid="{00000000-0005-0000-0000-0000E3000000}"/>
    <cellStyle name="Normal 45" xfId="225" xr:uid="{00000000-0005-0000-0000-0000E4000000}"/>
    <cellStyle name="Normal 45 2" xfId="226" xr:uid="{00000000-0005-0000-0000-0000E5000000}"/>
    <cellStyle name="Normal 46" xfId="227" xr:uid="{00000000-0005-0000-0000-0000E6000000}"/>
    <cellStyle name="Normal 46 2" xfId="228" xr:uid="{00000000-0005-0000-0000-0000E7000000}"/>
    <cellStyle name="Normal 47" xfId="229" xr:uid="{00000000-0005-0000-0000-0000E8000000}"/>
    <cellStyle name="Normal 47 2" xfId="230" xr:uid="{00000000-0005-0000-0000-0000E9000000}"/>
    <cellStyle name="Normal 48" xfId="231" xr:uid="{00000000-0005-0000-0000-0000EA000000}"/>
    <cellStyle name="Normal 48 2" xfId="232" xr:uid="{00000000-0005-0000-0000-0000EB000000}"/>
    <cellStyle name="Normal 49" xfId="233" xr:uid="{00000000-0005-0000-0000-0000EC000000}"/>
    <cellStyle name="Normal 49 2" xfId="234" xr:uid="{00000000-0005-0000-0000-0000ED000000}"/>
    <cellStyle name="Normal 5" xfId="19" xr:uid="{00000000-0005-0000-0000-0000EE000000}"/>
    <cellStyle name="Normal 5 2" xfId="236" xr:uid="{00000000-0005-0000-0000-0000EF000000}"/>
    <cellStyle name="Normal 5 3" xfId="237" xr:uid="{00000000-0005-0000-0000-0000F0000000}"/>
    <cellStyle name="Normal 5 4" xfId="405" xr:uid="{00000000-0005-0000-0000-0000F1000000}"/>
    <cellStyle name="Normal 5 5" xfId="235" xr:uid="{00000000-0005-0000-0000-0000F2000000}"/>
    <cellStyle name="Normal 5_■ 20159 월 급여 종합 지급액 (9.10)" xfId="238" xr:uid="{00000000-0005-0000-0000-0000F3000000}"/>
    <cellStyle name="Normal 50" xfId="239" xr:uid="{00000000-0005-0000-0000-0000F4000000}"/>
    <cellStyle name="Normal 50 2" xfId="240" xr:uid="{00000000-0005-0000-0000-0000F5000000}"/>
    <cellStyle name="Normal 51" xfId="241" xr:uid="{00000000-0005-0000-0000-0000F6000000}"/>
    <cellStyle name="Normal 51 2" xfId="242" xr:uid="{00000000-0005-0000-0000-0000F7000000}"/>
    <cellStyle name="Normal 52" xfId="243" xr:uid="{00000000-0005-0000-0000-0000F8000000}"/>
    <cellStyle name="Normal 52 2" xfId="244" xr:uid="{00000000-0005-0000-0000-0000F9000000}"/>
    <cellStyle name="Normal 53" xfId="245" xr:uid="{00000000-0005-0000-0000-0000FA000000}"/>
    <cellStyle name="Normal 53 2" xfId="246" xr:uid="{00000000-0005-0000-0000-0000FB000000}"/>
    <cellStyle name="Normal 54" xfId="247" xr:uid="{00000000-0005-0000-0000-0000FC000000}"/>
    <cellStyle name="Normal 54 2" xfId="248" xr:uid="{00000000-0005-0000-0000-0000FD000000}"/>
    <cellStyle name="Normal 55" xfId="249" xr:uid="{00000000-0005-0000-0000-0000FE000000}"/>
    <cellStyle name="Normal 55 2" xfId="250" xr:uid="{00000000-0005-0000-0000-0000FF000000}"/>
    <cellStyle name="Normal 56" xfId="251" xr:uid="{00000000-0005-0000-0000-000000010000}"/>
    <cellStyle name="Normal 56 2" xfId="252" xr:uid="{00000000-0005-0000-0000-000001010000}"/>
    <cellStyle name="Normal 57" xfId="253" xr:uid="{00000000-0005-0000-0000-000002010000}"/>
    <cellStyle name="Normal 57 2" xfId="254" xr:uid="{00000000-0005-0000-0000-000003010000}"/>
    <cellStyle name="Normal 58" xfId="255" xr:uid="{00000000-0005-0000-0000-000004010000}"/>
    <cellStyle name="Normal 58 2" xfId="256" xr:uid="{00000000-0005-0000-0000-000005010000}"/>
    <cellStyle name="Normal 59" xfId="257" xr:uid="{00000000-0005-0000-0000-000006010000}"/>
    <cellStyle name="Normal 59 2" xfId="258" xr:uid="{00000000-0005-0000-0000-000007010000}"/>
    <cellStyle name="Normal 6" xfId="16" xr:uid="{00000000-0005-0000-0000-000008010000}"/>
    <cellStyle name="Normal 6 2" xfId="259" xr:uid="{00000000-0005-0000-0000-000009010000}"/>
    <cellStyle name="Normal 6 3" xfId="12" xr:uid="{00000000-0005-0000-0000-00000A010000}"/>
    <cellStyle name="Normal 6 4" xfId="402" xr:uid="{00000000-0005-0000-0000-00000B010000}"/>
    <cellStyle name="Normal 60" xfId="260" xr:uid="{00000000-0005-0000-0000-00000C010000}"/>
    <cellStyle name="Normal 60 2" xfId="261" xr:uid="{00000000-0005-0000-0000-00000D010000}"/>
    <cellStyle name="Normal 61" xfId="262" xr:uid="{00000000-0005-0000-0000-00000E010000}"/>
    <cellStyle name="Normal 61 2" xfId="263" xr:uid="{00000000-0005-0000-0000-00000F010000}"/>
    <cellStyle name="Normal 62" xfId="264" xr:uid="{00000000-0005-0000-0000-000010010000}"/>
    <cellStyle name="Normal 62 2" xfId="265" xr:uid="{00000000-0005-0000-0000-000011010000}"/>
    <cellStyle name="Normal 63" xfId="266" xr:uid="{00000000-0005-0000-0000-000012010000}"/>
    <cellStyle name="Normal 63 2" xfId="267" xr:uid="{00000000-0005-0000-0000-000013010000}"/>
    <cellStyle name="Normal 64" xfId="268" xr:uid="{00000000-0005-0000-0000-000014010000}"/>
    <cellStyle name="Normal 64 2" xfId="269" xr:uid="{00000000-0005-0000-0000-000015010000}"/>
    <cellStyle name="Normal 65" xfId="270" xr:uid="{00000000-0005-0000-0000-000016010000}"/>
    <cellStyle name="Normal 65 2" xfId="271" xr:uid="{00000000-0005-0000-0000-000017010000}"/>
    <cellStyle name="Normal 66" xfId="272" xr:uid="{00000000-0005-0000-0000-000018010000}"/>
    <cellStyle name="Normal 66 2" xfId="273" xr:uid="{00000000-0005-0000-0000-000019010000}"/>
    <cellStyle name="Normal 67" xfId="274" xr:uid="{00000000-0005-0000-0000-00001A010000}"/>
    <cellStyle name="Normal 67 2" xfId="275" xr:uid="{00000000-0005-0000-0000-00001B010000}"/>
    <cellStyle name="Normal 68" xfId="276" xr:uid="{00000000-0005-0000-0000-00001C010000}"/>
    <cellStyle name="Normal 68 2" xfId="277" xr:uid="{00000000-0005-0000-0000-00001D010000}"/>
    <cellStyle name="Normal 69" xfId="278" xr:uid="{00000000-0005-0000-0000-00001E010000}"/>
    <cellStyle name="Normal 69 2" xfId="279" xr:uid="{00000000-0005-0000-0000-00001F010000}"/>
    <cellStyle name="Normal 7" xfId="280" xr:uid="{00000000-0005-0000-0000-000020010000}"/>
    <cellStyle name="Normal 7 2" xfId="281" xr:uid="{00000000-0005-0000-0000-000021010000}"/>
    <cellStyle name="Normal 70" xfId="282" xr:uid="{00000000-0005-0000-0000-000022010000}"/>
    <cellStyle name="Normal 70 2" xfId="283" xr:uid="{00000000-0005-0000-0000-000023010000}"/>
    <cellStyle name="Normal 71" xfId="284" xr:uid="{00000000-0005-0000-0000-000024010000}"/>
    <cellStyle name="Normal 71 2" xfId="285" xr:uid="{00000000-0005-0000-0000-000025010000}"/>
    <cellStyle name="Normal 72" xfId="286" xr:uid="{00000000-0005-0000-0000-000026010000}"/>
    <cellStyle name="Normal 72 2" xfId="287" xr:uid="{00000000-0005-0000-0000-000027010000}"/>
    <cellStyle name="Normal 73" xfId="288" xr:uid="{00000000-0005-0000-0000-000028010000}"/>
    <cellStyle name="Normal 73 2" xfId="289" xr:uid="{00000000-0005-0000-0000-000029010000}"/>
    <cellStyle name="Normal 74" xfId="290" xr:uid="{00000000-0005-0000-0000-00002A010000}"/>
    <cellStyle name="Normal 74 2" xfId="291" xr:uid="{00000000-0005-0000-0000-00002B010000}"/>
    <cellStyle name="Normal 75" xfId="292" xr:uid="{00000000-0005-0000-0000-00002C010000}"/>
    <cellStyle name="Normal 75 2" xfId="293" xr:uid="{00000000-0005-0000-0000-00002D010000}"/>
    <cellStyle name="Normal 76" xfId="294" xr:uid="{00000000-0005-0000-0000-00002E010000}"/>
    <cellStyle name="Normal 76 2" xfId="295" xr:uid="{00000000-0005-0000-0000-00002F010000}"/>
    <cellStyle name="Normal 77" xfId="296" xr:uid="{00000000-0005-0000-0000-000030010000}"/>
    <cellStyle name="Normal 77 2" xfId="297" xr:uid="{00000000-0005-0000-0000-000031010000}"/>
    <cellStyle name="Normal 78" xfId="298" xr:uid="{00000000-0005-0000-0000-000032010000}"/>
    <cellStyle name="Normal 78 2" xfId="299" xr:uid="{00000000-0005-0000-0000-000033010000}"/>
    <cellStyle name="Normal 79" xfId="300" xr:uid="{00000000-0005-0000-0000-000034010000}"/>
    <cellStyle name="Normal 79 2" xfId="301" xr:uid="{00000000-0005-0000-0000-000035010000}"/>
    <cellStyle name="Normal 8" xfId="302" xr:uid="{00000000-0005-0000-0000-000036010000}"/>
    <cellStyle name="Normal 8 2" xfId="303" xr:uid="{00000000-0005-0000-0000-000037010000}"/>
    <cellStyle name="Normal 8 3" xfId="304" xr:uid="{00000000-0005-0000-0000-000038010000}"/>
    <cellStyle name="Normal 80" xfId="305" xr:uid="{00000000-0005-0000-0000-000039010000}"/>
    <cellStyle name="Normal 80 2" xfId="306" xr:uid="{00000000-0005-0000-0000-00003A010000}"/>
    <cellStyle name="Normal 81" xfId="307" xr:uid="{00000000-0005-0000-0000-00003B010000}"/>
    <cellStyle name="Normal 81 2" xfId="308" xr:uid="{00000000-0005-0000-0000-00003C010000}"/>
    <cellStyle name="Normal 82" xfId="309" xr:uid="{00000000-0005-0000-0000-00003D010000}"/>
    <cellStyle name="Normal 82 2" xfId="310" xr:uid="{00000000-0005-0000-0000-00003E010000}"/>
    <cellStyle name="Normal 83" xfId="311" xr:uid="{00000000-0005-0000-0000-00003F010000}"/>
    <cellStyle name="Normal 83 2" xfId="312" xr:uid="{00000000-0005-0000-0000-000040010000}"/>
    <cellStyle name="Normal 84" xfId="313" xr:uid="{00000000-0005-0000-0000-000041010000}"/>
    <cellStyle name="Normal 84 2" xfId="314" xr:uid="{00000000-0005-0000-0000-000042010000}"/>
    <cellStyle name="Normal 85" xfId="315" xr:uid="{00000000-0005-0000-0000-000043010000}"/>
    <cellStyle name="Normal 85 2" xfId="316" xr:uid="{00000000-0005-0000-0000-000044010000}"/>
    <cellStyle name="Normal 86" xfId="317" xr:uid="{00000000-0005-0000-0000-000045010000}"/>
    <cellStyle name="Normal 86 2" xfId="318" xr:uid="{00000000-0005-0000-0000-000046010000}"/>
    <cellStyle name="Normal 87" xfId="319" xr:uid="{00000000-0005-0000-0000-000047010000}"/>
    <cellStyle name="Normal 87 2" xfId="320" xr:uid="{00000000-0005-0000-0000-000048010000}"/>
    <cellStyle name="Normal 88" xfId="321" xr:uid="{00000000-0005-0000-0000-000049010000}"/>
    <cellStyle name="Normal 88 2" xfId="322" xr:uid="{00000000-0005-0000-0000-00004A010000}"/>
    <cellStyle name="Normal 89" xfId="323" xr:uid="{00000000-0005-0000-0000-00004B010000}"/>
    <cellStyle name="Normal 89 2" xfId="324" xr:uid="{00000000-0005-0000-0000-00004C010000}"/>
    <cellStyle name="Normal 9" xfId="325" xr:uid="{00000000-0005-0000-0000-00004D010000}"/>
    <cellStyle name="Normal 9 2" xfId="326" xr:uid="{00000000-0005-0000-0000-00004E010000}"/>
    <cellStyle name="Normal 9 3" xfId="327" xr:uid="{00000000-0005-0000-0000-00004F010000}"/>
    <cellStyle name="Normal 90" xfId="328" xr:uid="{00000000-0005-0000-0000-000050010000}"/>
    <cellStyle name="Normal 90 2" xfId="329" xr:uid="{00000000-0005-0000-0000-000051010000}"/>
    <cellStyle name="Normal 91" xfId="330" xr:uid="{00000000-0005-0000-0000-000052010000}"/>
    <cellStyle name="Normal 91 2" xfId="331" xr:uid="{00000000-0005-0000-0000-000053010000}"/>
    <cellStyle name="Normal 92" xfId="332" xr:uid="{00000000-0005-0000-0000-000054010000}"/>
    <cellStyle name="Normal 92 2" xfId="333" xr:uid="{00000000-0005-0000-0000-000055010000}"/>
    <cellStyle name="Normal 93" xfId="334" xr:uid="{00000000-0005-0000-0000-000056010000}"/>
    <cellStyle name="Normal 93 2" xfId="335" xr:uid="{00000000-0005-0000-0000-000057010000}"/>
    <cellStyle name="Normal 94" xfId="336" xr:uid="{00000000-0005-0000-0000-000058010000}"/>
    <cellStyle name="Normal 94 2" xfId="337" xr:uid="{00000000-0005-0000-0000-000059010000}"/>
    <cellStyle name="Normal 95" xfId="338" xr:uid="{00000000-0005-0000-0000-00005A010000}"/>
    <cellStyle name="Normal 95 2" xfId="339" xr:uid="{00000000-0005-0000-0000-00005B010000}"/>
    <cellStyle name="Normal 96" xfId="340" xr:uid="{00000000-0005-0000-0000-00005C010000}"/>
    <cellStyle name="Normal 96 2" xfId="341" xr:uid="{00000000-0005-0000-0000-00005D010000}"/>
    <cellStyle name="Normal 97" xfId="342" xr:uid="{00000000-0005-0000-0000-00005E010000}"/>
    <cellStyle name="Normal 97 2" xfId="343" xr:uid="{00000000-0005-0000-0000-00005F010000}"/>
    <cellStyle name="Normal 98" xfId="344" xr:uid="{00000000-0005-0000-0000-000060010000}"/>
    <cellStyle name="Normal 98 2" xfId="345" xr:uid="{00000000-0005-0000-0000-000061010000}"/>
    <cellStyle name="Normal 99" xfId="346" xr:uid="{00000000-0005-0000-0000-000062010000}"/>
    <cellStyle name="Normal 99 2" xfId="347" xr:uid="{00000000-0005-0000-0000-000063010000}"/>
    <cellStyle name="Percent 2" xfId="348" xr:uid="{00000000-0005-0000-0000-000064010000}"/>
    <cellStyle name="Percent 2 2" xfId="349" xr:uid="{00000000-0005-0000-0000-000065010000}"/>
    <cellStyle name="Percent 2 3" xfId="350" xr:uid="{00000000-0005-0000-0000-000066010000}"/>
    <cellStyle name="Percent 2 3 2" xfId="351" xr:uid="{00000000-0005-0000-0000-000067010000}"/>
    <cellStyle name="Percent 2 3 3" xfId="352" xr:uid="{00000000-0005-0000-0000-000068010000}"/>
    <cellStyle name="Percent 3" xfId="353" xr:uid="{00000000-0005-0000-0000-000069010000}"/>
    <cellStyle name="Percent 3 2" xfId="354" xr:uid="{00000000-0005-0000-0000-00006A010000}"/>
    <cellStyle name="Percent 4" xfId="355" xr:uid="{00000000-0005-0000-0000-00006B010000}"/>
    <cellStyle name="Percent 5" xfId="356" xr:uid="{00000000-0005-0000-0000-00006C010000}"/>
    <cellStyle name="Result" xfId="357" xr:uid="{00000000-0005-0000-0000-00006D010000}"/>
    <cellStyle name="Result2" xfId="358" xr:uid="{00000000-0005-0000-0000-00006E010000}"/>
    <cellStyle name="강조색1 2" xfId="359" xr:uid="{00000000-0005-0000-0000-00006F010000}"/>
    <cellStyle name="강조색2 2" xfId="360" xr:uid="{00000000-0005-0000-0000-000070010000}"/>
    <cellStyle name="강조색3 2" xfId="361" xr:uid="{00000000-0005-0000-0000-000071010000}"/>
    <cellStyle name="강조색4 2" xfId="362" xr:uid="{00000000-0005-0000-0000-000072010000}"/>
    <cellStyle name="강조색5 2" xfId="363" xr:uid="{00000000-0005-0000-0000-000073010000}"/>
    <cellStyle name="강조색6 2" xfId="364" xr:uid="{00000000-0005-0000-0000-000074010000}"/>
    <cellStyle name="경고문 2" xfId="365" xr:uid="{00000000-0005-0000-0000-000075010000}"/>
    <cellStyle name="계산 2" xfId="366" xr:uid="{00000000-0005-0000-0000-000076010000}"/>
    <cellStyle name="나쁨 2" xfId="367" xr:uid="{00000000-0005-0000-0000-000077010000}"/>
    <cellStyle name="메모 2" xfId="368" xr:uid="{00000000-0005-0000-0000-000078010000}"/>
    <cellStyle name="백분율 2" xfId="369" xr:uid="{00000000-0005-0000-0000-000079010000}"/>
    <cellStyle name="보통 2" xfId="370" xr:uid="{00000000-0005-0000-0000-00007A010000}"/>
    <cellStyle name="설명 텍스트 2" xfId="371" xr:uid="{00000000-0005-0000-0000-00007B010000}"/>
    <cellStyle name="셀 확인 2" xfId="372" xr:uid="{00000000-0005-0000-0000-00007C010000}"/>
    <cellStyle name="쉼표 [0] 2" xfId="373" xr:uid="{00000000-0005-0000-0000-00007D010000}"/>
    <cellStyle name="쉼표 [0] 2 2" xfId="374" xr:uid="{00000000-0005-0000-0000-00007E010000}"/>
    <cellStyle name="쉼표 [0] 2 2 2" xfId="375" xr:uid="{00000000-0005-0000-0000-00007F010000}"/>
    <cellStyle name="쉼표 [0] 2 2 3" xfId="376" xr:uid="{00000000-0005-0000-0000-000080010000}"/>
    <cellStyle name="쉼표 2" xfId="377" xr:uid="{00000000-0005-0000-0000-000081010000}"/>
    <cellStyle name="쉼표 3" xfId="378" xr:uid="{00000000-0005-0000-0000-000082010000}"/>
    <cellStyle name="연결된 셀 2" xfId="379" xr:uid="{00000000-0005-0000-0000-000083010000}"/>
    <cellStyle name="요약 2" xfId="380" xr:uid="{00000000-0005-0000-0000-000084010000}"/>
    <cellStyle name="입력 2" xfId="381" xr:uid="{00000000-0005-0000-0000-000085010000}"/>
    <cellStyle name="제목 1 2" xfId="382" xr:uid="{00000000-0005-0000-0000-000086010000}"/>
    <cellStyle name="제목 2 2" xfId="383" xr:uid="{00000000-0005-0000-0000-000087010000}"/>
    <cellStyle name="제목 3 2" xfId="384" xr:uid="{00000000-0005-0000-0000-000088010000}"/>
    <cellStyle name="제목 4 2" xfId="385" xr:uid="{00000000-0005-0000-0000-000089010000}"/>
    <cellStyle name="제목 5" xfId="386" xr:uid="{00000000-0005-0000-0000-00008A010000}"/>
    <cellStyle name="좋음 2" xfId="387" xr:uid="{00000000-0005-0000-0000-00008B010000}"/>
    <cellStyle name="출력 2" xfId="388" xr:uid="{00000000-0005-0000-0000-00008C010000}"/>
    <cellStyle name="표준 2" xfId="389" xr:uid="{00000000-0005-0000-0000-00008D010000}"/>
    <cellStyle name="표준 2 2" xfId="390" xr:uid="{00000000-0005-0000-0000-00008E010000}"/>
    <cellStyle name="표준 2 3" xfId="391" xr:uid="{00000000-0005-0000-0000-00008F010000}"/>
    <cellStyle name="표준 3" xfId="392" xr:uid="{00000000-0005-0000-0000-000090010000}"/>
    <cellStyle name="표준 4" xfId="393" xr:uid="{00000000-0005-0000-0000-000091010000}"/>
    <cellStyle name="표준 5" xfId="394" xr:uid="{00000000-0005-0000-0000-000092010000}"/>
    <cellStyle name="표준 6" xfId="395" xr:uid="{00000000-0005-0000-0000-000093010000}"/>
    <cellStyle name="표준 6 2" xfId="396" xr:uid="{00000000-0005-0000-0000-000094010000}"/>
    <cellStyle name="표준 6 3" xfId="397" xr:uid="{00000000-0005-0000-0000-000095010000}"/>
    <cellStyle name="표준_ACE11" xfId="398" xr:uid="{00000000-0005-0000-0000-000096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2"/>
  <sheetViews>
    <sheetView showGridLines="0"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6" sqref="F26"/>
    </sheetView>
  </sheetViews>
  <sheetFormatPr defaultRowHeight="15"/>
  <cols>
    <col min="1" max="1" width="4.85546875" customWidth="1"/>
    <col min="2" max="2" width="13.85546875" customWidth="1"/>
    <col min="3" max="3" width="14.28515625" style="1" customWidth="1"/>
    <col min="4" max="5" width="12.85546875" style="1" customWidth="1"/>
    <col min="6" max="6" width="14.85546875" style="1" customWidth="1"/>
    <col min="7" max="8" width="12.85546875" style="1" customWidth="1"/>
    <col min="9" max="9" width="14.140625" style="1" customWidth="1"/>
    <col min="10" max="10" width="13.85546875" style="1" customWidth="1"/>
    <col min="11" max="11" width="12.85546875" style="1" customWidth="1"/>
    <col min="12" max="12" width="15.28515625" style="1" customWidth="1"/>
    <col min="13" max="18" width="12.85546875" style="1" customWidth="1"/>
    <col min="19" max="19" width="14" customWidth="1"/>
    <col min="20" max="20" width="13.28515625" customWidth="1"/>
    <col min="21" max="33" width="13.7109375" customWidth="1"/>
    <col min="34" max="34" width="15.85546875" customWidth="1"/>
  </cols>
  <sheetData>
    <row r="1" spans="1:34">
      <c r="A1" s="15"/>
      <c r="B1" s="1"/>
      <c r="C1" s="1">
        <f>(C16)/1000</f>
        <v>0</v>
      </c>
      <c r="D1" s="1">
        <f t="shared" ref="D1:AG1" si="0">(D16+$B$2)/1000</f>
        <v>0</v>
      </c>
      <c r="E1" s="1">
        <f>(E16+$B$2)/1000</f>
        <v>0</v>
      </c>
      <c r="F1" s="1">
        <f t="shared" si="0"/>
        <v>0</v>
      </c>
      <c r="G1" s="1">
        <f t="shared" si="0"/>
        <v>0</v>
      </c>
      <c r="H1" s="1">
        <f t="shared" si="0"/>
        <v>0</v>
      </c>
      <c r="I1" s="1">
        <f>(I16)/1000</f>
        <v>0</v>
      </c>
      <c r="J1" s="1">
        <f t="shared" si="0"/>
        <v>0</v>
      </c>
      <c r="K1" s="1">
        <f>(K16+$B$2)/1000</f>
        <v>0</v>
      </c>
      <c r="L1" s="1">
        <f>(L16+$B$2)/1000</f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(T16+$B$2)/1000</f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 t="shared" si="0"/>
        <v>0</v>
      </c>
      <c r="Y1" s="1">
        <f t="shared" si="0"/>
        <v>0</v>
      </c>
      <c r="Z1" s="1">
        <f t="shared" si="0"/>
        <v>0</v>
      </c>
      <c r="AA1" s="1">
        <f t="shared" si="0"/>
        <v>0</v>
      </c>
      <c r="AB1" s="1">
        <f t="shared" si="0"/>
        <v>0</v>
      </c>
      <c r="AC1" s="1">
        <f t="shared" si="0"/>
        <v>0</v>
      </c>
      <c r="AD1" s="1">
        <f t="shared" si="0"/>
        <v>0</v>
      </c>
      <c r="AE1" s="1">
        <f>(AE16+$B$2)/1000</f>
        <v>0</v>
      </c>
      <c r="AF1" s="1">
        <f t="shared" si="0"/>
        <v>0</v>
      </c>
      <c r="AG1" s="1">
        <f t="shared" si="0"/>
        <v>0</v>
      </c>
      <c r="AH1" s="8">
        <f>SUM(AH6:AH15)</f>
        <v>0</v>
      </c>
    </row>
    <row r="2" spans="1:34">
      <c r="C2" s="1">
        <f t="shared" ref="C2:AG2" si="1">+SUM(C4:C15)</f>
        <v>0</v>
      </c>
      <c r="D2" s="1">
        <f t="shared" si="1"/>
        <v>0</v>
      </c>
      <c r="E2" s="1">
        <f t="shared" si="1"/>
        <v>0</v>
      </c>
      <c r="F2" s="1">
        <f t="shared" si="1"/>
        <v>0</v>
      </c>
      <c r="G2" s="1">
        <f t="shared" si="1"/>
        <v>0</v>
      </c>
      <c r="H2" s="1">
        <f t="shared" si="1"/>
        <v>0</v>
      </c>
      <c r="I2" s="1">
        <f t="shared" si="1"/>
        <v>0</v>
      </c>
      <c r="J2" s="1">
        <f t="shared" si="1"/>
        <v>0</v>
      </c>
      <c r="K2" s="1">
        <f t="shared" si="1"/>
        <v>0</v>
      </c>
      <c r="L2" s="1">
        <f t="shared" si="1"/>
        <v>0</v>
      </c>
      <c r="M2" s="1">
        <f t="shared" si="1"/>
        <v>0</v>
      </c>
      <c r="N2" s="1">
        <f t="shared" si="1"/>
        <v>0</v>
      </c>
      <c r="O2" s="1">
        <f t="shared" si="1"/>
        <v>0</v>
      </c>
      <c r="P2" s="1">
        <f t="shared" si="1"/>
        <v>0</v>
      </c>
      <c r="Q2" s="1">
        <f t="shared" si="1"/>
        <v>0</v>
      </c>
      <c r="R2" s="1">
        <f t="shared" si="1"/>
        <v>0</v>
      </c>
      <c r="S2" s="1">
        <f t="shared" si="1"/>
        <v>0</v>
      </c>
      <c r="T2" s="1">
        <f t="shared" si="1"/>
        <v>0</v>
      </c>
      <c r="U2" s="1">
        <f t="shared" si="1"/>
        <v>0</v>
      </c>
      <c r="V2" s="1">
        <f t="shared" si="1"/>
        <v>0</v>
      </c>
      <c r="W2" s="1">
        <f t="shared" si="1"/>
        <v>0</v>
      </c>
      <c r="X2" s="1">
        <f t="shared" si="1"/>
        <v>0</v>
      </c>
      <c r="Y2" s="1">
        <f t="shared" si="1"/>
        <v>0</v>
      </c>
      <c r="Z2" s="1">
        <f t="shared" si="1"/>
        <v>0</v>
      </c>
      <c r="AA2" s="1">
        <f t="shared" si="1"/>
        <v>0</v>
      </c>
      <c r="AB2" s="1">
        <f t="shared" si="1"/>
        <v>0</v>
      </c>
      <c r="AC2" s="1">
        <f t="shared" si="1"/>
        <v>0</v>
      </c>
      <c r="AD2" s="1">
        <f t="shared" si="1"/>
        <v>0</v>
      </c>
      <c r="AE2" s="1">
        <f t="shared" si="1"/>
        <v>0</v>
      </c>
      <c r="AF2" s="1">
        <f t="shared" si="1"/>
        <v>0</v>
      </c>
      <c r="AG2" s="1">
        <f t="shared" si="1"/>
        <v>0</v>
      </c>
    </row>
    <row r="3" spans="1:34" s="4" customFormat="1" ht="30.75" customHeight="1">
      <c r="B3" s="2" t="s">
        <v>0</v>
      </c>
      <c r="C3" s="3">
        <v>45992</v>
      </c>
      <c r="D3" s="3">
        <v>45993</v>
      </c>
      <c r="E3" s="3">
        <v>45994</v>
      </c>
      <c r="F3" s="3">
        <v>45995</v>
      </c>
      <c r="G3" s="3">
        <v>45996</v>
      </c>
      <c r="H3" s="3">
        <v>45997</v>
      </c>
      <c r="I3" s="3">
        <v>45998</v>
      </c>
      <c r="J3" s="3">
        <v>45999</v>
      </c>
      <c r="K3" s="3">
        <v>46000</v>
      </c>
      <c r="L3" s="3">
        <v>46001</v>
      </c>
      <c r="M3" s="3">
        <v>46002</v>
      </c>
      <c r="N3" s="3">
        <v>46003</v>
      </c>
      <c r="O3" s="3">
        <v>46004</v>
      </c>
      <c r="P3" s="3">
        <v>46005</v>
      </c>
      <c r="Q3" s="3">
        <v>46006</v>
      </c>
      <c r="R3" s="3">
        <v>46007</v>
      </c>
      <c r="S3" s="3">
        <v>46008</v>
      </c>
      <c r="T3" s="3">
        <v>46009</v>
      </c>
      <c r="U3" s="3">
        <v>46010</v>
      </c>
      <c r="V3" s="3">
        <v>46011</v>
      </c>
      <c r="W3" s="3">
        <v>46012</v>
      </c>
      <c r="X3" s="3">
        <v>46013</v>
      </c>
      <c r="Y3" s="3">
        <v>46014</v>
      </c>
      <c r="Z3" s="3">
        <v>46015</v>
      </c>
      <c r="AA3" s="3">
        <v>46016</v>
      </c>
      <c r="AB3" s="3">
        <v>46017</v>
      </c>
      <c r="AC3" s="3">
        <v>46018</v>
      </c>
      <c r="AD3" s="3">
        <v>46019</v>
      </c>
      <c r="AE3" s="3">
        <v>46020</v>
      </c>
      <c r="AF3" s="3">
        <v>46021</v>
      </c>
      <c r="AG3" s="3">
        <v>46022</v>
      </c>
      <c r="AH3" s="3" t="s">
        <v>1</v>
      </c>
    </row>
    <row r="4" spans="1:34" ht="30.75" customHeight="1">
      <c r="B4" s="6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spans="1:34" ht="30.75" customHeight="1">
      <c r="B5" s="6" t="s">
        <v>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spans="1:34" ht="30.75" customHeight="1">
      <c r="B6" s="5" t="s">
        <v>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spans="1:34" ht="30.75" customHeight="1">
      <c r="B7" s="6" t="s">
        <v>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spans="1:34" ht="30.75" customHeight="1">
      <c r="B8" s="6" t="s">
        <v>6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spans="1:34" ht="30.75" customHeight="1">
      <c r="B9" s="6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s="13" customFormat="1" ht="30.75" customHeight="1">
      <c r="B10" s="6" t="s">
        <v>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</row>
    <row r="11" spans="1:34" ht="30.75" customHeight="1">
      <c r="B11" s="6" t="s">
        <v>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 ht="30.75" customHeight="1">
      <c r="B12" s="6" t="s">
        <v>10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 ht="30.75" customHeight="1">
      <c r="B13" s="14" t="s">
        <v>11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 ht="30.75" customHeight="1">
      <c r="B14" s="6" t="s">
        <v>12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</row>
    <row r="15" spans="1:34" ht="30.75" customHeight="1">
      <c r="B15" s="6" t="s">
        <v>13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 ht="30.75" customHeight="1">
      <c r="B16" s="6" t="s">
        <v>14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2:34">
      <c r="B17" s="9" t="s">
        <v>15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spans="2:34">
      <c r="B18" s="9" t="s">
        <v>16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spans="2:34">
      <c r="B19" s="9" t="s">
        <v>17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</row>
    <row r="20" spans="2:34">
      <c r="B20" s="9" t="s">
        <v>2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2:34"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>
        <v>0</v>
      </c>
    </row>
    <row r="22" spans="2:34" ht="14.25" customHeight="1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Nhàn</dc:creator>
  <cp:lastModifiedBy>Nhun Nhun</cp:lastModifiedBy>
  <cp:lastPrinted>2020-09-30T08:39:00Z</cp:lastPrinted>
  <dcterms:created xsi:type="dcterms:W3CDTF">2017-04-17T13:51:37Z</dcterms:created>
  <dcterms:modified xsi:type="dcterms:W3CDTF">2026-01-03T06:10:09Z</dcterms:modified>
</cp:coreProperties>
</file>