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 YSV\Desktop\한명훈\"/>
    </mc:Choice>
  </mc:AlternateContent>
  <bookViews>
    <workbookView xWindow="-120" yWindow="-120" windowWidth="29040" windowHeight="15720"/>
  </bookViews>
  <sheets>
    <sheet name="종합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20" i="2" l="1"/>
  <c r="BA19" i="2"/>
  <c r="BA18" i="2"/>
  <c r="BA17" i="2"/>
  <c r="BA16" i="2"/>
  <c r="BA15" i="2"/>
  <c r="BA14" i="2"/>
  <c r="BA13" i="2"/>
  <c r="BA12" i="2"/>
  <c r="BA11" i="2"/>
  <c r="BA10" i="2"/>
  <c r="BA9" i="2"/>
  <c r="BA7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7" i="2"/>
  <c r="AU20" i="2"/>
  <c r="AU19" i="2"/>
  <c r="AU18" i="2"/>
  <c r="AU17" i="2"/>
  <c r="AU16" i="2"/>
  <c r="AU15" i="2"/>
  <c r="AU14" i="2"/>
  <c r="AU13" i="2"/>
  <c r="AU12" i="2"/>
  <c r="AU11" i="2"/>
  <c r="AU10" i="2"/>
  <c r="AU9" i="2"/>
  <c r="AU7" i="2"/>
  <c r="AR20" i="2"/>
  <c r="AR19" i="2"/>
  <c r="AR18" i="2"/>
  <c r="AR17" i="2"/>
  <c r="AR16" i="2"/>
  <c r="AR15" i="2"/>
  <c r="AR14" i="2"/>
  <c r="AR13" i="2"/>
  <c r="AR12" i="2"/>
  <c r="AR11" i="2"/>
  <c r="AR10" i="2"/>
  <c r="AR9" i="2"/>
  <c r="AR7" i="2"/>
  <c r="AO20" i="2"/>
  <c r="AO19" i="2"/>
  <c r="AO18" i="2"/>
  <c r="AO17" i="2"/>
  <c r="AO16" i="2"/>
  <c r="AO15" i="2"/>
  <c r="AO14" i="2"/>
  <c r="AO13" i="2"/>
  <c r="AO12" i="2"/>
  <c r="AO11" i="2"/>
  <c r="AO10" i="2"/>
  <c r="AO9" i="2"/>
  <c r="AO7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7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7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7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7" i="2"/>
  <c r="W20" i="2"/>
  <c r="W19" i="2"/>
  <c r="W18" i="2"/>
  <c r="W17" i="2"/>
  <c r="W16" i="2"/>
  <c r="W15" i="2"/>
  <c r="W14" i="2"/>
  <c r="W13" i="2"/>
  <c r="W12" i="2"/>
  <c r="W11" i="2"/>
  <c r="W10" i="2"/>
  <c r="W9" i="2"/>
  <c r="W7" i="2"/>
  <c r="T20" i="2"/>
  <c r="T19" i="2"/>
  <c r="T18" i="2"/>
  <c r="T17" i="2"/>
  <c r="T16" i="2"/>
  <c r="T15" i="2"/>
  <c r="T14" i="2"/>
  <c r="T13" i="2"/>
  <c r="T12" i="2"/>
  <c r="T11" i="2"/>
  <c r="T10" i="2"/>
  <c r="T9" i="2"/>
  <c r="T7" i="2"/>
  <c r="Q20" i="2"/>
  <c r="Q19" i="2"/>
  <c r="Q18" i="2"/>
  <c r="Q17" i="2"/>
  <c r="Q16" i="2"/>
  <c r="Q15" i="2"/>
  <c r="Q14" i="2"/>
  <c r="Q13" i="2"/>
  <c r="Q12" i="2"/>
  <c r="Q11" i="2"/>
  <c r="Q10" i="2"/>
  <c r="Q9" i="2"/>
  <c r="Q7" i="2"/>
  <c r="N20" i="2"/>
  <c r="N19" i="2"/>
  <c r="N18" i="2"/>
  <c r="N17" i="2"/>
  <c r="N16" i="2"/>
  <c r="N15" i="2"/>
  <c r="N14" i="2"/>
  <c r="N13" i="2"/>
  <c r="N12" i="2"/>
  <c r="N11" i="2"/>
  <c r="N10" i="2"/>
  <c r="N9" i="2"/>
  <c r="N7" i="2"/>
  <c r="K20" i="2"/>
  <c r="K19" i="2"/>
  <c r="K18" i="2"/>
  <c r="K17" i="2"/>
  <c r="K16" i="2"/>
  <c r="K15" i="2"/>
  <c r="K14" i="2"/>
  <c r="K13" i="2"/>
  <c r="K12" i="2"/>
  <c r="K11" i="2"/>
  <c r="K10" i="2"/>
  <c r="K9" i="2"/>
  <c r="K7" i="2"/>
  <c r="H20" i="2"/>
  <c r="H19" i="2"/>
  <c r="H18" i="2"/>
  <c r="H17" i="2"/>
  <c r="H16" i="2"/>
  <c r="H15" i="2"/>
  <c r="H14" i="2"/>
  <c r="H13" i="2"/>
  <c r="H12" i="2"/>
  <c r="H11" i="2"/>
  <c r="H10" i="2"/>
  <c r="H9" i="2"/>
  <c r="H7" i="2"/>
  <c r="AZ7" i="2"/>
  <c r="AY7" i="2"/>
  <c r="AZ6" i="2"/>
  <c r="AY6" i="2"/>
  <c r="AZ5" i="2"/>
  <c r="AY5" i="2"/>
  <c r="AW7" i="2"/>
  <c r="AV7" i="2"/>
  <c r="AW6" i="2"/>
  <c r="AV6" i="2"/>
  <c r="AW5" i="2"/>
  <c r="AV5" i="2"/>
  <c r="AT7" i="2"/>
  <c r="AS7" i="2"/>
  <c r="AT6" i="2"/>
  <c r="AS6" i="2"/>
  <c r="AT5" i="2"/>
  <c r="AS5" i="2"/>
  <c r="AQ7" i="2"/>
  <c r="AP7" i="2"/>
  <c r="AQ6" i="2"/>
  <c r="AP6" i="2"/>
  <c r="AQ5" i="2"/>
  <c r="AP5" i="2"/>
  <c r="AN7" i="2"/>
  <c r="AM7" i="2"/>
  <c r="AN6" i="2"/>
  <c r="AM6" i="2"/>
  <c r="AN5" i="2"/>
  <c r="AM5" i="2"/>
  <c r="AK7" i="2"/>
  <c r="AJ7" i="2"/>
  <c r="AK6" i="2"/>
  <c r="AJ6" i="2"/>
  <c r="AK5" i="2"/>
  <c r="AJ5" i="2"/>
  <c r="AH7" i="2"/>
  <c r="AG7" i="2"/>
  <c r="AH6" i="2"/>
  <c r="AG6" i="2"/>
  <c r="AH5" i="2"/>
  <c r="AG5" i="2"/>
  <c r="AE7" i="2"/>
  <c r="AD7" i="2"/>
  <c r="AE6" i="2"/>
  <c r="AD6" i="2"/>
  <c r="AE5" i="2"/>
  <c r="AD5" i="2"/>
  <c r="Y7" i="2"/>
  <c r="X7" i="2"/>
  <c r="Y6" i="2"/>
  <c r="X6" i="2"/>
  <c r="Y5" i="2"/>
  <c r="X5" i="2"/>
  <c r="AB7" i="2"/>
  <c r="AA7" i="2"/>
  <c r="AB6" i="2"/>
  <c r="AA6" i="2"/>
  <c r="AB5" i="2"/>
  <c r="AA5" i="2"/>
  <c r="V7" i="2"/>
  <c r="U7" i="2"/>
  <c r="V6" i="2"/>
  <c r="U6" i="2"/>
  <c r="V5" i="2"/>
  <c r="U5" i="2"/>
  <c r="S7" i="2"/>
  <c r="R7" i="2"/>
  <c r="S6" i="2"/>
  <c r="R6" i="2"/>
  <c r="S5" i="2"/>
  <c r="R5" i="2"/>
  <c r="P7" i="2"/>
  <c r="O7" i="2"/>
  <c r="P6" i="2"/>
  <c r="O6" i="2"/>
  <c r="P5" i="2"/>
  <c r="O5" i="2"/>
  <c r="M7" i="2"/>
  <c r="L7" i="2"/>
  <c r="M6" i="2"/>
  <c r="L6" i="2"/>
  <c r="M5" i="2"/>
  <c r="L5" i="2"/>
  <c r="J7" i="2"/>
  <c r="I7" i="2"/>
  <c r="J6" i="2"/>
  <c r="I6" i="2"/>
  <c r="J5" i="2"/>
  <c r="I5" i="2"/>
  <c r="G7" i="2"/>
  <c r="F7" i="2"/>
  <c r="G6" i="2"/>
  <c r="F6" i="2"/>
  <c r="G5" i="2"/>
  <c r="F5" i="2"/>
  <c r="E7" i="2"/>
  <c r="Z18" i="2"/>
  <c r="Z17" i="2"/>
  <c r="Z16" i="2"/>
  <c r="E13" i="2" l="1"/>
  <c r="E12" i="2"/>
  <c r="E8" i="2"/>
  <c r="E5" i="2" l="1"/>
  <c r="E6" i="2"/>
  <c r="E20" i="2"/>
  <c r="E19" i="2"/>
  <c r="E15" i="2"/>
  <c r="E14" i="2"/>
  <c r="E11" i="2"/>
  <c r="E10" i="2"/>
  <c r="E9" i="2"/>
  <c r="AO6" i="2" l="1"/>
  <c r="H6" i="2"/>
  <c r="AR6" i="2"/>
  <c r="Q6" i="2"/>
  <c r="AI6" i="2"/>
  <c r="AL6" i="2"/>
  <c r="AX6" i="2"/>
  <c r="W6" i="2"/>
  <c r="BA6" i="2"/>
  <c r="AU6" i="2"/>
  <c r="T6" i="2"/>
  <c r="N6" i="2"/>
  <c r="K6" i="2"/>
  <c r="AF6" i="2"/>
  <c r="AC6" i="2"/>
  <c r="AL5" i="2"/>
  <c r="N5" i="2"/>
  <c r="AF5" i="2"/>
  <c r="AO5" i="2"/>
  <c r="Q5" i="2"/>
  <c r="BA5" i="2"/>
  <c r="AU5" i="2"/>
  <c r="T5" i="2"/>
  <c r="AC5" i="2"/>
  <c r="AX5" i="2"/>
  <c r="AR5" i="2"/>
  <c r="K5" i="2"/>
  <c r="H5" i="2"/>
  <c r="AI5" i="2"/>
  <c r="W5" i="2"/>
  <c r="Z15" i="2"/>
  <c r="Z14" i="2"/>
  <c r="Z19" i="2"/>
  <c r="Z20" i="2"/>
  <c r="Z12" i="2"/>
  <c r="Z6" i="2" s="1"/>
  <c r="Z13" i="2"/>
  <c r="Z7" i="2" l="1"/>
  <c r="Z5" i="2"/>
</calcChain>
</file>

<file path=xl/sharedStrings.xml><?xml version="1.0" encoding="utf-8"?>
<sst xmlns="http://schemas.openxmlformats.org/spreadsheetml/2006/main" count="167" uniqueCount="49">
  <si>
    <t>총인원</t>
    <phoneticPr fontId="2" type="noConversion"/>
  </si>
  <si>
    <t>구 분</t>
    <phoneticPr fontId="2" type="noConversion"/>
  </si>
  <si>
    <t>소 계</t>
    <phoneticPr fontId="2" type="noConversion"/>
  </si>
  <si>
    <t>합 계</t>
    <phoneticPr fontId="2" type="noConversion"/>
  </si>
  <si>
    <t>자재부
MM</t>
    <phoneticPr fontId="2" type="noConversion"/>
  </si>
  <si>
    <t>관리부
Q.L</t>
    <phoneticPr fontId="2" type="noConversion"/>
  </si>
  <si>
    <t>제조부
S.X</t>
  </si>
  <si>
    <t>%</t>
    <phoneticPr fontId="2" type="noConversion"/>
  </si>
  <si>
    <t>품질부
Q.C</t>
  </si>
  <si>
    <t>02/02</t>
  </si>
  <si>
    <t>01/16</t>
    <phoneticPr fontId="2" type="noConversion"/>
  </si>
  <si>
    <t>01/17</t>
  </si>
  <si>
    <t>01/18</t>
  </si>
  <si>
    <t>01/19</t>
  </si>
  <si>
    <t>01/20</t>
  </si>
  <si>
    <t>01/21</t>
  </si>
  <si>
    <t>01/22</t>
  </si>
  <si>
    <t>01/23</t>
  </si>
  <si>
    <t>01/24</t>
  </si>
  <si>
    <t>01/25</t>
  </si>
  <si>
    <t>01/26</t>
  </si>
  <si>
    <t>01/27</t>
  </si>
  <si>
    <t>01/28</t>
  </si>
  <si>
    <t>01/29</t>
  </si>
  <si>
    <t>01/30</t>
  </si>
  <si>
    <t>01/31</t>
  </si>
  <si>
    <t>02/01</t>
    <phoneticPr fontId="2" type="noConversion"/>
  </si>
  <si>
    <t>off</t>
  </si>
  <si>
    <t>HDB</t>
    <phoneticPr fontId="2" type="noConversion"/>
  </si>
  <si>
    <t>ON</t>
  </si>
  <si>
    <t>ON</t>
    <phoneticPr fontId="2" type="noConversion"/>
  </si>
  <si>
    <t>off</t>
    <phoneticPr fontId="2" type="noConversion"/>
  </si>
  <si>
    <t>SRT</t>
    <phoneticPr fontId="2" type="noConversion"/>
  </si>
  <si>
    <t>DEASIN</t>
    <phoneticPr fontId="2" type="noConversion"/>
  </si>
  <si>
    <t>타사 휴무 계획</t>
    <phoneticPr fontId="2" type="noConversion"/>
  </si>
  <si>
    <t>CA A</t>
  </si>
  <si>
    <t>CA A</t>
    <phoneticPr fontId="2" type="noConversion"/>
  </si>
  <si>
    <t>CA B</t>
  </si>
  <si>
    <t>CA B</t>
    <phoneticPr fontId="2" type="noConversion"/>
  </si>
  <si>
    <t>영업부
SM</t>
    <phoneticPr fontId="2" type="noConversion"/>
  </si>
  <si>
    <t>제조기술부
EQM</t>
    <phoneticPr fontId="2" type="noConversion"/>
  </si>
  <si>
    <t>tet</t>
    <phoneticPr fontId="2" type="noConversion"/>
  </si>
  <si>
    <t>2/16~2/19</t>
    <phoneticPr fontId="2" type="noConversion"/>
  </si>
  <si>
    <t>■ '2026년 truoc/sau tet hien trang di lam nguoi</t>
    <phoneticPr fontId="2" type="noConversion"/>
  </si>
  <si>
    <t>di lam</t>
    <phoneticPr fontId="2" type="noConversion"/>
  </si>
  <si>
    <t>HC</t>
  </si>
  <si>
    <t>ko
di lam</t>
    <phoneticPr fontId="2" type="noConversion"/>
  </si>
  <si>
    <t>di lam
(200%)</t>
    <phoneticPr fontId="2" type="noConversion"/>
  </si>
  <si>
    <t>di lam
(400%)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</si>
</sst>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dd\/mm"/>
  </numFmts>
  <fonts count="11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3"/>
      <charset val="129"/>
    </font>
    <font>
      <sz val="9"/>
      <color theme="1"/>
      <name val="Calibri"/>
      <family val="2"/>
      <charset val="129"/>
      <scheme val="minor"/>
    </font>
    <font>
      <b/>
      <sz val="9"/>
      <color theme="1"/>
      <name val="Calibri"/>
      <family val="2"/>
      <charset val="129"/>
      <scheme val="minor"/>
    </font>
    <font>
      <b/>
      <sz val="9"/>
      <color theme="1"/>
      <name val="Calibri"/>
      <family val="3"/>
      <charset val="129"/>
      <scheme val="minor"/>
    </font>
    <font>
      <b/>
      <sz val="9"/>
      <color rgb="FFFF000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/>
      <right style="thin">
        <color theme="0" tint="-0.34998626667073579"/>
      </right>
      <top style="medium">
        <color theme="0" tint="-0.34998626667073579"/>
      </top>
      <bottom style="hair">
        <color theme="0" tint="-0.34998626667073579"/>
      </bottom>
      <diagonal/>
    </border>
    <border>
      <left style="double">
        <color theme="0" tint="-0.499984740745262"/>
      </left>
      <right style="thin">
        <color theme="0" tint="-0.499984740745262"/>
      </right>
      <top style="double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 style="hair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hair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/>
      <bottom style="double">
        <color theme="0" tint="-0.499984740745262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double">
        <color rgb="FFFF0000"/>
      </left>
      <right style="thin">
        <color theme="0" tint="-0.34998626667073579"/>
      </right>
      <top style="medium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double">
        <color rgb="FFFF0000"/>
      </right>
      <top style="medium">
        <color theme="0" tint="-0.34998626667073579"/>
      </top>
      <bottom style="hair">
        <color theme="0" tint="-0.34998626667073579"/>
      </bottom>
      <diagonal/>
    </border>
    <border>
      <left style="double">
        <color rgb="FFFF0000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double">
        <color rgb="FFFF0000"/>
      </right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rgb="FFFF0000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 style="double">
        <color rgb="FFFF0000"/>
      </right>
      <top style="hair">
        <color theme="0" tint="-0.34998626667073579"/>
      </top>
      <bottom/>
      <diagonal/>
    </border>
    <border>
      <left style="double">
        <color rgb="FFFF0000"/>
      </left>
      <right style="thin">
        <color theme="0" tint="-0.34998626667073579"/>
      </right>
      <top style="hair">
        <color theme="0" tint="-0.34998626667073579"/>
      </top>
      <bottom style="double">
        <color rgb="FFFF0000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double">
        <color rgb="FFFF0000"/>
      </bottom>
      <diagonal/>
    </border>
    <border>
      <left style="thin">
        <color theme="0" tint="-0.34998626667073579"/>
      </left>
      <right style="double">
        <color rgb="FFFF0000"/>
      </right>
      <top style="hair">
        <color theme="0" tint="-0.34998626667073579"/>
      </top>
      <bottom style="double">
        <color rgb="FFFF0000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/>
      <diagonal/>
    </border>
    <border>
      <left style="thin">
        <color theme="0" tint="-0.34998626667073579"/>
      </left>
      <right/>
      <top style="medium">
        <color theme="0" tint="-0.34998626667073579"/>
      </top>
      <bottom style="hair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double">
        <color rgb="FFFF0000"/>
      </left>
      <right/>
      <top style="double">
        <color rgb="FFFF0000"/>
      </top>
      <bottom style="thin">
        <color theme="0" tint="-0.34998626667073579"/>
      </bottom>
      <diagonal/>
    </border>
    <border>
      <left/>
      <right/>
      <top style="double">
        <color rgb="FFFF0000"/>
      </top>
      <bottom style="thin">
        <color theme="0" tint="-0.34998626667073579"/>
      </bottom>
      <diagonal/>
    </border>
    <border>
      <left/>
      <right style="double">
        <color rgb="FFFF0000"/>
      </right>
      <top style="double">
        <color rgb="FFFF0000"/>
      </top>
      <bottom style="thin">
        <color theme="0" tint="-0.34998626667073579"/>
      </bottom>
      <diagonal/>
    </border>
    <border>
      <left style="double">
        <color rgb="FFFF0000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double">
        <color rgb="FFFF0000"/>
      </right>
      <top style="thin">
        <color theme="0" tint="-0.34998626667073579"/>
      </top>
      <bottom style="medium">
        <color theme="0" tint="-0.34998626667073579"/>
      </bottom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41" fontId="1" fillId="0" borderId="0" applyFont="0" applyFill="0" applyBorder="0" applyAlignment="0" applyProtection="0">
      <alignment vertical="center"/>
    </xf>
    <xf numFmtId="0" fontId="4" fillId="0" borderId="0"/>
    <xf numFmtId="0" fontId="5" fillId="0" borderId="0"/>
  </cellStyleXfs>
  <cellXfs count="124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1" fontId="8" fillId="0" borderId="2" xfId="3" applyFont="1" applyFill="1" applyBorder="1">
      <alignment vertical="center"/>
    </xf>
    <xf numFmtId="41" fontId="8" fillId="0" borderId="4" xfId="3" applyFont="1" applyFill="1" applyBorder="1">
      <alignment vertical="center"/>
    </xf>
    <xf numFmtId="41" fontId="8" fillId="0" borderId="1" xfId="3" applyFont="1" applyFill="1" applyBorder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41" fontId="8" fillId="5" borderId="1" xfId="3" applyFont="1" applyFill="1" applyBorder="1">
      <alignment vertical="center"/>
    </xf>
    <xf numFmtId="41" fontId="8" fillId="5" borderId="2" xfId="3" applyFont="1" applyFill="1" applyBorder="1" applyAlignment="1">
      <alignment horizontal="center" vertical="center"/>
    </xf>
    <xf numFmtId="0" fontId="10" fillId="0" borderId="0" xfId="0" applyFont="1">
      <alignment vertical="center"/>
    </xf>
    <xf numFmtId="41" fontId="8" fillId="0" borderId="2" xfId="3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3" borderId="12" xfId="0" quotePrefix="1" applyFont="1" applyFill="1" applyBorder="1" applyAlignment="1">
      <alignment horizontal="center" vertical="center"/>
    </xf>
    <xf numFmtId="0" fontId="8" fillId="2" borderId="12" xfId="0" quotePrefix="1" applyFont="1" applyFill="1" applyBorder="1" applyAlignment="1">
      <alignment horizontal="center" vertical="center"/>
    </xf>
    <xf numFmtId="41" fontId="8" fillId="5" borderId="5" xfId="3" applyFont="1" applyFill="1" applyBorder="1">
      <alignment vertical="center"/>
    </xf>
    <xf numFmtId="41" fontId="8" fillId="0" borderId="14" xfId="3" applyFont="1" applyFill="1" applyBorder="1">
      <alignment vertical="center"/>
    </xf>
    <xf numFmtId="41" fontId="8" fillId="0" borderId="15" xfId="3" applyFont="1" applyFill="1" applyBorder="1">
      <alignment vertical="center"/>
    </xf>
    <xf numFmtId="41" fontId="8" fillId="5" borderId="16" xfId="3" applyFont="1" applyFill="1" applyBorder="1">
      <alignment vertical="center"/>
    </xf>
    <xf numFmtId="164" fontId="8" fillId="5" borderId="17" xfId="1" applyNumberFormat="1" applyFont="1" applyFill="1" applyBorder="1" applyAlignment="1">
      <alignment horizontal="right" vertical="center"/>
    </xf>
    <xf numFmtId="41" fontId="8" fillId="0" borderId="18" xfId="3" applyFont="1" applyFill="1" applyBorder="1">
      <alignment vertical="center"/>
    </xf>
    <xf numFmtId="164" fontId="8" fillId="0" borderId="19" xfId="1" applyNumberFormat="1" applyFont="1" applyFill="1" applyBorder="1" applyAlignment="1">
      <alignment horizontal="right" vertical="center"/>
    </xf>
    <xf numFmtId="41" fontId="8" fillId="0" borderId="20" xfId="3" applyFont="1" applyFill="1" applyBorder="1">
      <alignment vertical="center"/>
    </xf>
    <xf numFmtId="164" fontId="8" fillId="0" borderId="21" xfId="1" applyNumberFormat="1" applyFont="1" applyFill="1" applyBorder="1" applyAlignment="1">
      <alignment horizontal="right" vertical="center"/>
    </xf>
    <xf numFmtId="41" fontId="8" fillId="0" borderId="22" xfId="3" applyFont="1" applyFill="1" applyBorder="1">
      <alignment vertical="center"/>
    </xf>
    <xf numFmtId="41" fontId="8" fillId="0" borderId="23" xfId="3" applyFont="1" applyFill="1" applyBorder="1">
      <alignment vertical="center"/>
    </xf>
    <xf numFmtId="164" fontId="8" fillId="0" borderId="24" xfId="1" applyNumberFormat="1" applyFont="1" applyFill="1" applyBorder="1" applyAlignment="1">
      <alignment horizontal="right" vertical="center"/>
    </xf>
    <xf numFmtId="0" fontId="8" fillId="0" borderId="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8" fillId="0" borderId="3" xfId="1" applyNumberFormat="1" applyFont="1" applyFill="1" applyBorder="1" applyAlignment="1">
      <alignment horizontal="right" vertical="center"/>
    </xf>
    <xf numFmtId="0" fontId="8" fillId="6" borderId="3" xfId="0" applyFont="1" applyFill="1" applyBorder="1" applyAlignment="1">
      <alignment horizontal="center" vertical="center" wrapText="1"/>
    </xf>
    <xf numFmtId="41" fontId="8" fillId="6" borderId="2" xfId="3" applyFont="1" applyFill="1" applyBorder="1">
      <alignment vertical="center"/>
    </xf>
    <xf numFmtId="164" fontId="8" fillId="6" borderId="3" xfId="1" applyNumberFormat="1" applyFont="1" applyFill="1" applyBorder="1" applyAlignment="1">
      <alignment horizontal="right" vertical="center"/>
    </xf>
    <xf numFmtId="41" fontId="8" fillId="6" borderId="18" xfId="3" applyFont="1" applyFill="1" applyBorder="1">
      <alignment vertical="center"/>
    </xf>
    <xf numFmtId="164" fontId="8" fillId="6" borderId="19" xfId="1" applyNumberFormat="1" applyFont="1" applyFill="1" applyBorder="1" applyAlignment="1">
      <alignment horizontal="right" vertical="center"/>
    </xf>
    <xf numFmtId="0" fontId="6" fillId="6" borderId="0" xfId="0" applyFont="1" applyFill="1">
      <alignment vertical="center"/>
    </xf>
    <xf numFmtId="0" fontId="8" fillId="6" borderId="3" xfId="0" applyFont="1" applyFill="1" applyBorder="1" applyAlignment="1">
      <alignment horizontal="center" vertical="center"/>
    </xf>
    <xf numFmtId="41" fontId="8" fillId="5" borderId="28" xfId="3" applyFont="1" applyFill="1" applyBorder="1">
      <alignment vertical="center"/>
    </xf>
    <xf numFmtId="41" fontId="8" fillId="0" borderId="3" xfId="3" applyFont="1" applyFill="1" applyBorder="1">
      <alignment vertical="center"/>
    </xf>
    <xf numFmtId="41" fontId="8" fillId="0" borderId="27" xfId="3" applyFont="1" applyFill="1" applyBorder="1">
      <alignment vertical="center"/>
    </xf>
    <xf numFmtId="41" fontId="8" fillId="0" borderId="28" xfId="3" applyFont="1" applyFill="1" applyBorder="1">
      <alignment vertical="center"/>
    </xf>
    <xf numFmtId="41" fontId="8" fillId="6" borderId="3" xfId="3" applyFont="1" applyFill="1" applyBorder="1">
      <alignment vertical="center"/>
    </xf>
    <xf numFmtId="41" fontId="8" fillId="6" borderId="14" xfId="3" applyFont="1" applyFill="1" applyBorder="1">
      <alignment vertical="center"/>
    </xf>
    <xf numFmtId="164" fontId="8" fillId="5" borderId="1" xfId="1" applyNumberFormat="1" applyFont="1" applyFill="1" applyBorder="1" applyAlignment="1">
      <alignment horizontal="right" vertical="center"/>
    </xf>
    <xf numFmtId="164" fontId="8" fillId="0" borderId="2" xfId="1" applyNumberFormat="1" applyFont="1" applyFill="1" applyBorder="1" applyAlignment="1">
      <alignment horizontal="right" vertical="center"/>
    </xf>
    <xf numFmtId="164" fontId="8" fillId="0" borderId="4" xfId="1" applyNumberFormat="1" applyFont="1" applyFill="1" applyBorder="1" applyAlignment="1">
      <alignment horizontal="right" vertical="center"/>
    </xf>
    <xf numFmtId="164" fontId="8" fillId="0" borderId="1" xfId="1" applyNumberFormat="1" applyFont="1" applyFill="1" applyBorder="1" applyAlignment="1">
      <alignment horizontal="right" vertical="center"/>
    </xf>
    <xf numFmtId="164" fontId="8" fillId="6" borderId="2" xfId="1" applyNumberFormat="1" applyFont="1" applyFill="1" applyBorder="1" applyAlignment="1">
      <alignment horizontal="right" vertical="center"/>
    </xf>
    <xf numFmtId="41" fontId="8" fillId="0" borderId="32" xfId="3" applyFont="1" applyFill="1" applyBorder="1">
      <alignment vertical="center"/>
    </xf>
    <xf numFmtId="164" fontId="8" fillId="0" borderId="32" xfId="1" applyNumberFormat="1" applyFont="1" applyFill="1" applyBorder="1" applyAlignment="1">
      <alignment horizontal="right" vertical="center"/>
    </xf>
    <xf numFmtId="0" fontId="8" fillId="5" borderId="36" xfId="0" applyFont="1" applyFill="1" applyBorder="1" applyAlignment="1">
      <alignment horizontal="center" vertical="center"/>
    </xf>
    <xf numFmtId="0" fontId="8" fillId="5" borderId="37" xfId="0" quotePrefix="1" applyFont="1" applyFill="1" applyBorder="1" applyAlignment="1">
      <alignment horizontal="center" vertical="center"/>
    </xf>
    <xf numFmtId="165" fontId="8" fillId="5" borderId="38" xfId="0" applyNumberFormat="1" applyFont="1" applyFill="1" applyBorder="1" applyAlignment="1">
      <alignment horizontal="center" vertical="center"/>
    </xf>
    <xf numFmtId="0" fontId="8" fillId="5" borderId="39" xfId="0" applyFont="1" applyFill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41" fontId="8" fillId="0" borderId="41" xfId="3" applyFont="1" applyFill="1" applyBorder="1">
      <alignment vertical="center"/>
    </xf>
    <xf numFmtId="0" fontId="8" fillId="7" borderId="3" xfId="0" applyFont="1" applyFill="1" applyBorder="1" applyAlignment="1">
      <alignment horizontal="center" vertical="center" wrapText="1"/>
    </xf>
    <xf numFmtId="41" fontId="8" fillId="7" borderId="3" xfId="3" applyFont="1" applyFill="1" applyBorder="1">
      <alignment vertical="center"/>
    </xf>
    <xf numFmtId="41" fontId="8" fillId="7" borderId="2" xfId="3" applyFont="1" applyFill="1" applyBorder="1">
      <alignment vertical="center"/>
    </xf>
    <xf numFmtId="164" fontId="8" fillId="7" borderId="2" xfId="1" applyNumberFormat="1" applyFont="1" applyFill="1" applyBorder="1" applyAlignment="1">
      <alignment horizontal="right" vertical="center"/>
    </xf>
    <xf numFmtId="0" fontId="8" fillId="7" borderId="3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center" vertical="center" wrapText="1"/>
    </xf>
    <xf numFmtId="0" fontId="8" fillId="5" borderId="39" xfId="0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horizontal="center" vertical="center" wrapText="1"/>
    </xf>
    <xf numFmtId="0" fontId="8" fillId="5" borderId="42" xfId="0" applyFont="1" applyFill="1" applyBorder="1" applyAlignment="1">
      <alignment horizontal="center" vertical="center"/>
    </xf>
    <xf numFmtId="164" fontId="8" fillId="5" borderId="28" xfId="1" applyNumberFormat="1" applyFont="1" applyFill="1" applyBorder="1" applyAlignment="1">
      <alignment horizontal="right" vertical="center"/>
    </xf>
    <xf numFmtId="164" fontId="8" fillId="0" borderId="27" xfId="1" applyNumberFormat="1" applyFont="1" applyFill="1" applyBorder="1" applyAlignment="1">
      <alignment horizontal="right" vertical="center"/>
    </xf>
    <xf numFmtId="164" fontId="8" fillId="7" borderId="3" xfId="1" applyNumberFormat="1" applyFont="1" applyFill="1" applyBorder="1" applyAlignment="1">
      <alignment horizontal="right" vertical="center"/>
    </xf>
    <xf numFmtId="164" fontId="8" fillId="0" borderId="41" xfId="1" applyNumberFormat="1" applyFont="1" applyFill="1" applyBorder="1" applyAlignment="1">
      <alignment horizontal="right" vertical="center"/>
    </xf>
    <xf numFmtId="0" fontId="8" fillId="5" borderId="38" xfId="0" quotePrefix="1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center" vertical="center"/>
    </xf>
    <xf numFmtId="41" fontId="8" fillId="7" borderId="14" xfId="3" applyFont="1" applyFill="1" applyBorder="1">
      <alignment vertical="center"/>
    </xf>
    <xf numFmtId="41" fontId="8" fillId="0" borderId="44" xfId="3" applyFont="1" applyFill="1" applyBorder="1">
      <alignment vertical="center"/>
    </xf>
    <xf numFmtId="0" fontId="8" fillId="5" borderId="45" xfId="0" quotePrefix="1" applyFont="1" applyFill="1" applyBorder="1" applyAlignment="1">
      <alignment horizontal="center" vertical="center"/>
    </xf>
    <xf numFmtId="165" fontId="8" fillId="5" borderId="46" xfId="0" applyNumberFormat="1" applyFont="1" applyFill="1" applyBorder="1" applyAlignment="1">
      <alignment horizontal="right" vertical="center"/>
    </xf>
    <xf numFmtId="0" fontId="8" fillId="5" borderId="47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 vertical="center"/>
    </xf>
    <xf numFmtId="0" fontId="8" fillId="5" borderId="49" xfId="0" applyFont="1" applyFill="1" applyBorder="1" applyAlignment="1">
      <alignment horizontal="center" vertical="center"/>
    </xf>
    <xf numFmtId="41" fontId="8" fillId="7" borderId="18" xfId="3" applyFont="1" applyFill="1" applyBorder="1">
      <alignment vertical="center"/>
    </xf>
    <xf numFmtId="164" fontId="8" fillId="7" borderId="19" xfId="1" applyNumberFormat="1" applyFont="1" applyFill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/>
    </xf>
    <xf numFmtId="0" fontId="7" fillId="5" borderId="34" xfId="0" applyFont="1" applyFill="1" applyBorder="1" applyAlignment="1">
      <alignment horizontal="center" vertical="center"/>
    </xf>
    <xf numFmtId="0" fontId="7" fillId="5" borderId="35" xfId="0" applyFont="1" applyFill="1" applyBorder="1" applyAlignment="1">
      <alignment horizontal="center" vertical="center"/>
    </xf>
    <xf numFmtId="0" fontId="7" fillId="5" borderId="40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41" fontId="8" fillId="6" borderId="1" xfId="3" applyFont="1" applyFill="1" applyBorder="1">
      <alignment vertical="center"/>
    </xf>
    <xf numFmtId="164" fontId="8" fillId="6" borderId="1" xfId="1" applyNumberFormat="1" applyFont="1" applyFill="1" applyBorder="1" applyAlignment="1">
      <alignment horizontal="right" vertical="center"/>
    </xf>
    <xf numFmtId="164" fontId="8" fillId="6" borderId="28" xfId="1" applyNumberFormat="1" applyFont="1" applyFill="1" applyBorder="1" applyAlignment="1">
      <alignment horizontal="right" vertical="center"/>
    </xf>
    <xf numFmtId="41" fontId="8" fillId="6" borderId="16" xfId="3" applyFont="1" applyFill="1" applyBorder="1">
      <alignment vertical="center"/>
    </xf>
    <xf numFmtId="164" fontId="8" fillId="6" borderId="17" xfId="1" applyNumberFormat="1" applyFont="1" applyFill="1" applyBorder="1" applyAlignment="1">
      <alignment horizontal="right" vertical="center"/>
    </xf>
    <xf numFmtId="41" fontId="8" fillId="6" borderId="5" xfId="3" applyFont="1" applyFill="1" applyBorder="1">
      <alignment vertical="center"/>
    </xf>
  </cellXfs>
  <cellStyles count="6">
    <cellStyle name="Comma [0]" xfId="3" builtinId="6"/>
    <cellStyle name="Normal" xfId="0" builtinId="0"/>
    <cellStyle name="Normal 10" xfId="4"/>
    <cellStyle name="Normal 2 5" xfId="2"/>
    <cellStyle name="Normal 6" xfId="5"/>
    <cellStyle name="Percent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A27"/>
  <sheetViews>
    <sheetView showGridLines="0" tabSelected="1" topLeftCell="F1" zoomScale="115" zoomScaleNormal="115" workbookViewId="0">
      <selection activeCell="L9" sqref="L9"/>
    </sheetView>
  </sheetViews>
  <sheetFormatPr defaultColWidth="9" defaultRowHeight="12"/>
  <cols>
    <col min="1" max="1" width="2.42578125" style="1" customWidth="1"/>
    <col min="2" max="2" width="3" style="1" bestFit="1" customWidth="1"/>
    <col min="3" max="3" width="9.28515625" style="1" bestFit="1" customWidth="1"/>
    <col min="4" max="4" width="9.28515625" style="1" customWidth="1"/>
    <col min="5" max="5" width="6.7109375" style="1" customWidth="1"/>
    <col min="6" max="53" width="6.140625" style="1" customWidth="1"/>
    <col min="54" max="16384" width="9" style="1"/>
  </cols>
  <sheetData>
    <row r="2" spans="2:53" ht="15.75" thickBot="1">
      <c r="B2" s="16" t="s">
        <v>43</v>
      </c>
    </row>
    <row r="3" spans="2:53" ht="29.25" customHeight="1" thickTop="1">
      <c r="B3" s="112" t="s">
        <v>1</v>
      </c>
      <c r="C3" s="113"/>
      <c r="D3" s="114"/>
      <c r="E3" s="101" t="s">
        <v>0</v>
      </c>
      <c r="F3" s="59"/>
      <c r="G3" s="60">
        <v>46063</v>
      </c>
      <c r="H3" s="62" t="s">
        <v>44</v>
      </c>
      <c r="I3" s="59"/>
      <c r="J3" s="60">
        <v>46064</v>
      </c>
      <c r="K3" s="61" t="s">
        <v>44</v>
      </c>
      <c r="L3" s="59"/>
      <c r="M3" s="60">
        <v>46065</v>
      </c>
      <c r="N3" s="61" t="s">
        <v>44</v>
      </c>
      <c r="O3" s="59"/>
      <c r="P3" s="60">
        <v>46066</v>
      </c>
      <c r="Q3" s="61" t="s">
        <v>44</v>
      </c>
      <c r="R3" s="59"/>
      <c r="S3" s="60">
        <v>46067</v>
      </c>
      <c r="T3" s="61" t="s">
        <v>44</v>
      </c>
      <c r="U3" s="59"/>
      <c r="V3" s="60">
        <v>46068</v>
      </c>
      <c r="W3" s="72" t="s">
        <v>47</v>
      </c>
      <c r="X3" s="82"/>
      <c r="Y3" s="83" t="s">
        <v>42</v>
      </c>
      <c r="Z3" s="84" t="s">
        <v>41</v>
      </c>
      <c r="AA3" s="78"/>
      <c r="AB3" s="60">
        <v>46073</v>
      </c>
      <c r="AC3" s="71" t="s">
        <v>48</v>
      </c>
      <c r="AD3" s="59"/>
      <c r="AE3" s="60">
        <v>46074</v>
      </c>
      <c r="AF3" s="61" t="s">
        <v>44</v>
      </c>
      <c r="AG3" s="59"/>
      <c r="AH3" s="60">
        <v>46075</v>
      </c>
      <c r="AI3" s="61" t="s">
        <v>44</v>
      </c>
      <c r="AJ3" s="59"/>
      <c r="AK3" s="60">
        <v>46076</v>
      </c>
      <c r="AL3" s="61" t="s">
        <v>44</v>
      </c>
      <c r="AM3" s="59"/>
      <c r="AN3" s="60">
        <v>46077</v>
      </c>
      <c r="AO3" s="61" t="s">
        <v>44</v>
      </c>
      <c r="AP3" s="59"/>
      <c r="AQ3" s="60">
        <v>46078</v>
      </c>
      <c r="AR3" s="61" t="s">
        <v>44</v>
      </c>
      <c r="AS3" s="59"/>
      <c r="AT3" s="60">
        <v>46079</v>
      </c>
      <c r="AU3" s="61" t="s">
        <v>44</v>
      </c>
      <c r="AV3" s="59"/>
      <c r="AW3" s="60">
        <v>46080</v>
      </c>
      <c r="AX3" s="61" t="s">
        <v>44</v>
      </c>
      <c r="AY3" s="59"/>
      <c r="AZ3" s="60">
        <v>46081</v>
      </c>
      <c r="BA3" s="61" t="s">
        <v>44</v>
      </c>
    </row>
    <row r="4" spans="2:53" ht="29.25" customHeight="1" thickBot="1">
      <c r="B4" s="115"/>
      <c r="C4" s="116"/>
      <c r="D4" s="117"/>
      <c r="E4" s="102"/>
      <c r="F4" s="58" t="s">
        <v>44</v>
      </c>
      <c r="G4" s="70" t="s">
        <v>46</v>
      </c>
      <c r="H4" s="58" t="s">
        <v>7</v>
      </c>
      <c r="I4" s="58" t="s">
        <v>44</v>
      </c>
      <c r="J4" s="70" t="s">
        <v>46</v>
      </c>
      <c r="K4" s="58" t="s">
        <v>7</v>
      </c>
      <c r="L4" s="58" t="s">
        <v>44</v>
      </c>
      <c r="M4" s="70" t="s">
        <v>46</v>
      </c>
      <c r="N4" s="58" t="s">
        <v>7</v>
      </c>
      <c r="O4" s="58" t="s">
        <v>44</v>
      </c>
      <c r="P4" s="70" t="s">
        <v>46</v>
      </c>
      <c r="Q4" s="58" t="s">
        <v>7</v>
      </c>
      <c r="R4" s="58" t="s">
        <v>44</v>
      </c>
      <c r="S4" s="70" t="s">
        <v>46</v>
      </c>
      <c r="T4" s="58" t="s">
        <v>7</v>
      </c>
      <c r="U4" s="58" t="s">
        <v>44</v>
      </c>
      <c r="V4" s="70" t="s">
        <v>46</v>
      </c>
      <c r="W4" s="73" t="s">
        <v>7</v>
      </c>
      <c r="X4" s="85" t="s">
        <v>44</v>
      </c>
      <c r="Y4" s="70" t="s">
        <v>46</v>
      </c>
      <c r="Z4" s="86" t="s">
        <v>7</v>
      </c>
      <c r="AA4" s="79" t="s">
        <v>44</v>
      </c>
      <c r="AB4" s="70" t="s">
        <v>46</v>
      </c>
      <c r="AC4" s="58" t="s">
        <v>7</v>
      </c>
      <c r="AD4" s="58" t="s">
        <v>44</v>
      </c>
      <c r="AE4" s="70" t="s">
        <v>46</v>
      </c>
      <c r="AF4" s="58" t="s">
        <v>7</v>
      </c>
      <c r="AG4" s="58" t="s">
        <v>44</v>
      </c>
      <c r="AH4" s="70" t="s">
        <v>46</v>
      </c>
      <c r="AI4" s="58" t="s">
        <v>7</v>
      </c>
      <c r="AJ4" s="58" t="s">
        <v>44</v>
      </c>
      <c r="AK4" s="70" t="s">
        <v>46</v>
      </c>
      <c r="AL4" s="58" t="s">
        <v>7</v>
      </c>
      <c r="AM4" s="58" t="s">
        <v>44</v>
      </c>
      <c r="AN4" s="70" t="s">
        <v>46</v>
      </c>
      <c r="AO4" s="58" t="s">
        <v>7</v>
      </c>
      <c r="AP4" s="58" t="s">
        <v>44</v>
      </c>
      <c r="AQ4" s="70" t="s">
        <v>46</v>
      </c>
      <c r="AR4" s="58" t="s">
        <v>7</v>
      </c>
      <c r="AS4" s="58" t="s">
        <v>44</v>
      </c>
      <c r="AT4" s="70" t="s">
        <v>46</v>
      </c>
      <c r="AU4" s="58" t="s">
        <v>7</v>
      </c>
      <c r="AV4" s="58" t="s">
        <v>44</v>
      </c>
      <c r="AW4" s="70" t="s">
        <v>46</v>
      </c>
      <c r="AX4" s="58" t="s">
        <v>7</v>
      </c>
      <c r="AY4" s="58" t="s">
        <v>44</v>
      </c>
      <c r="AZ4" s="70" t="s">
        <v>46</v>
      </c>
      <c r="BA4" s="58" t="s">
        <v>7</v>
      </c>
    </row>
    <row r="5" spans="2:53" ht="29.25" customHeight="1">
      <c r="B5" s="109" t="s">
        <v>3</v>
      </c>
      <c r="C5" s="110"/>
      <c r="D5" s="111"/>
      <c r="E5" s="45">
        <f>SUM(E8:E20)</f>
        <v>1114</v>
      </c>
      <c r="F5" s="14">
        <f t="shared" ref="F5:G5" si="0">SUM(F8:F20)</f>
        <v>1087</v>
      </c>
      <c r="G5" s="14">
        <f t="shared" si="0"/>
        <v>108</v>
      </c>
      <c r="H5" s="51">
        <f>IFERROR(F5/$E5,"")</f>
        <v>0.97576301615798922</v>
      </c>
      <c r="I5" s="14">
        <f t="shared" ref="I5:J5" si="1">SUM(I8:I20)</f>
        <v>1067</v>
      </c>
      <c r="J5" s="14">
        <f t="shared" si="1"/>
        <v>126</v>
      </c>
      <c r="K5" s="51">
        <f>IFERROR(I5/$E5,"")</f>
        <v>0.95780969479353684</v>
      </c>
      <c r="L5" s="14">
        <f t="shared" ref="L5:M5" si="2">SUM(L8:L20)</f>
        <v>1054</v>
      </c>
      <c r="M5" s="14">
        <f t="shared" si="2"/>
        <v>139</v>
      </c>
      <c r="N5" s="51">
        <f>IFERROR(L5/$E5,"")</f>
        <v>0.94614003590664275</v>
      </c>
      <c r="O5" s="14">
        <f t="shared" ref="O5:P5" si="3">SUM(O8:O20)</f>
        <v>1040</v>
      </c>
      <c r="P5" s="14">
        <f t="shared" si="3"/>
        <v>153</v>
      </c>
      <c r="Q5" s="51">
        <f>IFERROR(O5/$E5,"")</f>
        <v>0.93357271095152605</v>
      </c>
      <c r="R5" s="14">
        <f t="shared" ref="R5:S5" si="4">SUM(R8:R20)</f>
        <v>871</v>
      </c>
      <c r="S5" s="14">
        <f t="shared" si="4"/>
        <v>328</v>
      </c>
      <c r="T5" s="51">
        <f>IFERROR(R5/$E5,"")</f>
        <v>0.78186714542190305</v>
      </c>
      <c r="U5" s="15">
        <f t="shared" ref="U5:V5" si="5">SUM(U8:U20)</f>
        <v>257</v>
      </c>
      <c r="V5" s="15">
        <f t="shared" si="5"/>
        <v>918</v>
      </c>
      <c r="W5" s="74">
        <f>IFERROR(U5/$E5,"")</f>
        <v>0.23070017953321365</v>
      </c>
      <c r="X5" s="24">
        <f t="shared" ref="X5:Y5" si="6">SUM(X8:X20)</f>
        <v>0</v>
      </c>
      <c r="Y5" s="14">
        <f t="shared" si="6"/>
        <v>0</v>
      </c>
      <c r="Z5" s="25">
        <f t="shared" ref="Z5" si="7">SUM(Z6:Z7)</f>
        <v>0</v>
      </c>
      <c r="AA5" s="21">
        <f t="shared" ref="AA5:AB5" si="8">SUM(AA8:AA20)</f>
        <v>474</v>
      </c>
      <c r="AB5" s="14">
        <f t="shared" si="8"/>
        <v>707</v>
      </c>
      <c r="AC5" s="51">
        <f>IFERROR(AA5/$E5,"")</f>
        <v>0.42549371633752242</v>
      </c>
      <c r="AD5" s="14">
        <f t="shared" ref="AD5:AE5" si="9">SUM(AD8:AD20)</f>
        <v>866</v>
      </c>
      <c r="AE5" s="14">
        <f t="shared" si="9"/>
        <v>313</v>
      </c>
      <c r="AF5" s="51">
        <f>IFERROR(AD5/$E5,"")</f>
        <v>0.77737881508078999</v>
      </c>
      <c r="AG5" s="14">
        <f t="shared" ref="AG5:AH5" si="10">SUM(AG8:AG20)</f>
        <v>1002</v>
      </c>
      <c r="AH5" s="14">
        <f t="shared" si="10"/>
        <v>166</v>
      </c>
      <c r="AI5" s="51">
        <f>IFERROR(AG5/$E5,"")</f>
        <v>0.89946140035906641</v>
      </c>
      <c r="AJ5" s="14">
        <f t="shared" ref="AJ5:AK5" si="11">SUM(AJ8:AJ20)</f>
        <v>1040</v>
      </c>
      <c r="AK5" s="14">
        <f t="shared" si="11"/>
        <v>164</v>
      </c>
      <c r="AL5" s="51">
        <f>IFERROR(AJ5/$E5,"")</f>
        <v>0.93357271095152605</v>
      </c>
      <c r="AM5" s="14">
        <f t="shared" ref="AM5:AN5" si="12">SUM(AM8:AM20)</f>
        <v>1048</v>
      </c>
      <c r="AN5" s="14">
        <f t="shared" si="12"/>
        <v>149</v>
      </c>
      <c r="AO5" s="51">
        <f>IFERROR(AM5/$E5,"")</f>
        <v>0.94075403949730696</v>
      </c>
      <c r="AP5" s="14">
        <f t="shared" ref="AP5:AQ5" si="13">SUM(AP8:AP20)</f>
        <v>1069</v>
      </c>
      <c r="AQ5" s="14">
        <f t="shared" si="13"/>
        <v>125</v>
      </c>
      <c r="AR5" s="51">
        <f>IFERROR(AP5/$E5,"")</f>
        <v>0.95960502692998206</v>
      </c>
      <c r="AS5" s="14">
        <f t="shared" ref="AS5:AT5" si="14">SUM(AS8:AS20)</f>
        <v>1069</v>
      </c>
      <c r="AT5" s="14">
        <f t="shared" si="14"/>
        <v>125</v>
      </c>
      <c r="AU5" s="51">
        <f>IFERROR(AS5/$E5,"")</f>
        <v>0.95960502692998206</v>
      </c>
      <c r="AV5" s="14">
        <f t="shared" ref="AV5:AW5" si="15">SUM(AV8:AV20)</f>
        <v>1069</v>
      </c>
      <c r="AW5" s="14">
        <f t="shared" si="15"/>
        <v>127</v>
      </c>
      <c r="AX5" s="51">
        <f>IFERROR(AV5/$E5,"")</f>
        <v>0.95960502692998206</v>
      </c>
      <c r="AY5" s="14">
        <f t="shared" ref="AY5:AZ5" si="16">SUM(AY8:AY20)</f>
        <v>1069</v>
      </c>
      <c r="AZ5" s="14">
        <f t="shared" si="16"/>
        <v>129</v>
      </c>
      <c r="BA5" s="51">
        <f>IFERROR(AY5/$E5,"")</f>
        <v>0.95960502692998206</v>
      </c>
    </row>
    <row r="6" spans="2:53" ht="29.25" customHeight="1">
      <c r="B6" s="93" t="s">
        <v>2</v>
      </c>
      <c r="C6" s="93"/>
      <c r="D6" s="33" t="s">
        <v>35</v>
      </c>
      <c r="E6" s="46">
        <f>SUM(E8,E10,E12,E14,E16,E17,E19)</f>
        <v>547</v>
      </c>
      <c r="F6" s="5">
        <f t="shared" ref="F6:G6" si="17">SUM(F8,F10,F12,F14,F16,F17,F19)</f>
        <v>536</v>
      </c>
      <c r="G6" s="5">
        <f t="shared" si="17"/>
        <v>54</v>
      </c>
      <c r="H6" s="52">
        <f t="shared" ref="H6:H20" si="18">IFERROR(F6/$E6,"")</f>
        <v>0.979890310786106</v>
      </c>
      <c r="I6" s="5">
        <f t="shared" ref="I6:J6" si="19">SUM(I8,I10,I12,I14,I16,I17,I19)</f>
        <v>536</v>
      </c>
      <c r="J6" s="5">
        <f t="shared" si="19"/>
        <v>53</v>
      </c>
      <c r="K6" s="52">
        <f t="shared" ref="K6:K20" si="20">IFERROR(I6/$E6,"")</f>
        <v>0.979890310786106</v>
      </c>
      <c r="L6" s="5">
        <f t="shared" ref="L6:M6" si="21">SUM(L8,L10,L12,L14,L16,L17,L19)</f>
        <v>536</v>
      </c>
      <c r="M6" s="5">
        <f t="shared" si="21"/>
        <v>50</v>
      </c>
      <c r="N6" s="52">
        <f t="shared" ref="N6:N20" si="22">IFERROR(L6/$E6,"")</f>
        <v>0.979890310786106</v>
      </c>
      <c r="O6" s="5">
        <f t="shared" ref="O6:P6" si="23">SUM(O8,O10,O12,O14,O16,O17,O19)</f>
        <v>531</v>
      </c>
      <c r="P6" s="5">
        <f t="shared" si="23"/>
        <v>58</v>
      </c>
      <c r="Q6" s="52">
        <f t="shared" ref="Q6:Q20" si="24">IFERROR(O6/$E6,"")</f>
        <v>0.97074954296160876</v>
      </c>
      <c r="R6" s="5">
        <f t="shared" ref="R6:S6" si="25">SUM(R8,R10,R12,R14,R16,R17,R19)</f>
        <v>516</v>
      </c>
      <c r="S6" s="5">
        <f t="shared" si="25"/>
        <v>75</v>
      </c>
      <c r="T6" s="52">
        <f t="shared" ref="T6:T20" si="26">IFERROR(R6/$E6,"")</f>
        <v>0.94332723948811703</v>
      </c>
      <c r="U6" s="17">
        <f t="shared" ref="U6:V6" si="27">SUM(U8,U10,U12,U14,U16,U17,U19)</f>
        <v>183</v>
      </c>
      <c r="V6" s="17">
        <f t="shared" si="27"/>
        <v>394</v>
      </c>
      <c r="W6" s="37">
        <f t="shared" ref="W6:W20" si="28">IFERROR(U6/$E6,"")</f>
        <v>0.33455210237659966</v>
      </c>
      <c r="X6" s="26">
        <f t="shared" ref="X6:Y6" si="29">SUM(X8,X10,X12,X14,X16,X17,X19)</f>
        <v>0</v>
      </c>
      <c r="Y6" s="5">
        <f t="shared" si="29"/>
        <v>0</v>
      </c>
      <c r="Z6" s="27">
        <f t="shared" ref="Z6" si="30">SUM(Z8,Z10,Z12,Z14,Z16,Z19)</f>
        <v>0</v>
      </c>
      <c r="AA6" s="22">
        <f t="shared" ref="AA6:AB6" si="31">SUM(AA8,AA10,AA12,AA14,AA16,AA17,AA19)</f>
        <v>355</v>
      </c>
      <c r="AB6" s="5">
        <f t="shared" si="31"/>
        <v>228</v>
      </c>
      <c r="AC6" s="52">
        <f t="shared" ref="AC6:AC20" si="32">IFERROR(AA6/$E6,"")</f>
        <v>0.64899451553930532</v>
      </c>
      <c r="AD6" s="5">
        <f t="shared" ref="AD6:AE6" si="33">SUM(AD8,AD10,AD12,AD14,AD16,AD17,AD19)</f>
        <v>494</v>
      </c>
      <c r="AE6" s="5">
        <f t="shared" si="33"/>
        <v>86</v>
      </c>
      <c r="AF6" s="52">
        <f t="shared" ref="AF6:AF20" si="34">IFERROR(AD6/$E6,"")</f>
        <v>0.90310786106032903</v>
      </c>
      <c r="AG6" s="5">
        <f t="shared" ref="AG6:AH6" si="35">SUM(AG8,AG10,AG12,AG14,AG16,AG17,AG19)</f>
        <v>528</v>
      </c>
      <c r="AH6" s="5">
        <f t="shared" si="35"/>
        <v>46</v>
      </c>
      <c r="AI6" s="52">
        <f t="shared" ref="AI6:AI20" si="36">IFERROR(AG6/$E6,"")</f>
        <v>0.96526508226691043</v>
      </c>
      <c r="AJ6" s="5">
        <f t="shared" ref="AJ6:AK6" si="37">SUM(AJ8,AJ10,AJ12,AJ14,AJ16,AJ17,AJ19)</f>
        <v>533</v>
      </c>
      <c r="AK6" s="5">
        <f t="shared" si="37"/>
        <v>63</v>
      </c>
      <c r="AL6" s="52">
        <f t="shared" ref="AL6:AL20" si="38">IFERROR(AJ6/$E6,"")</f>
        <v>0.97440585009140768</v>
      </c>
      <c r="AM6" s="5">
        <f t="shared" ref="AM6:AN6" si="39">SUM(AM8,AM10,AM12,AM14,AM16,AM17,AM19)</f>
        <v>535</v>
      </c>
      <c r="AN6" s="5">
        <f t="shared" si="39"/>
        <v>57</v>
      </c>
      <c r="AO6" s="52">
        <f t="shared" ref="AO6:AO20" si="40">IFERROR(AM6/$E6,"")</f>
        <v>0.9780621572212066</v>
      </c>
      <c r="AP6" s="5">
        <f t="shared" ref="AP6:AQ6" si="41">SUM(AP8,AP10,AP12,AP14,AP16,AP17,AP19)</f>
        <v>536</v>
      </c>
      <c r="AQ6" s="5">
        <f t="shared" si="41"/>
        <v>54</v>
      </c>
      <c r="AR6" s="52">
        <f t="shared" ref="AR6:AR20" si="42">IFERROR(AP6/$E6,"")</f>
        <v>0.979890310786106</v>
      </c>
      <c r="AS6" s="5">
        <f t="shared" ref="AS6:AT6" si="43">SUM(AS8,AS10,AS12,AS14,AS16,AS17,AS19)</f>
        <v>536</v>
      </c>
      <c r="AT6" s="5">
        <f t="shared" si="43"/>
        <v>54</v>
      </c>
      <c r="AU6" s="52">
        <f t="shared" ref="AU6:AU20" si="44">IFERROR(AS6/$E6,"")</f>
        <v>0.979890310786106</v>
      </c>
      <c r="AV6" s="5">
        <f t="shared" ref="AV6:AW6" si="45">SUM(AV8,AV10,AV12,AV14,AV16,AV17,AV19)</f>
        <v>536</v>
      </c>
      <c r="AW6" s="5">
        <f t="shared" si="45"/>
        <v>54</v>
      </c>
      <c r="AX6" s="52">
        <f t="shared" ref="AX6:AX20" si="46">IFERROR(AV6/$E6,"")</f>
        <v>0.979890310786106</v>
      </c>
      <c r="AY6" s="5">
        <f t="shared" ref="AY6:AZ6" si="47">SUM(AY8,AY10,AY12,AY14,AY16,AY17,AY19)</f>
        <v>536</v>
      </c>
      <c r="AZ6" s="5">
        <f t="shared" si="47"/>
        <v>56</v>
      </c>
      <c r="BA6" s="52">
        <f t="shared" ref="BA6:BA20" si="48">IFERROR(AY6/$E6,"")</f>
        <v>0.979890310786106</v>
      </c>
    </row>
    <row r="7" spans="2:53" ht="29.25" customHeight="1" thickBot="1">
      <c r="B7" s="108"/>
      <c r="C7" s="108"/>
      <c r="D7" s="34" t="s">
        <v>37</v>
      </c>
      <c r="E7" s="47">
        <f>SUM(E9,E11,E13,E15,E18,E20)</f>
        <v>567</v>
      </c>
      <c r="F7" s="6">
        <f t="shared" ref="F7:G7" si="49">SUM(F9,F11,F13,F15,F18,F20)</f>
        <v>551</v>
      </c>
      <c r="G7" s="6">
        <f t="shared" si="49"/>
        <v>54</v>
      </c>
      <c r="H7" s="53">
        <f t="shared" si="18"/>
        <v>0.97178130511463845</v>
      </c>
      <c r="I7" s="6">
        <f t="shared" ref="I7:J7" si="50">SUM(I9,I11,I13,I15,I18,I20)</f>
        <v>531</v>
      </c>
      <c r="J7" s="6">
        <f t="shared" si="50"/>
        <v>73</v>
      </c>
      <c r="K7" s="53">
        <f t="shared" si="20"/>
        <v>0.93650793650793651</v>
      </c>
      <c r="L7" s="6">
        <f t="shared" ref="L7:AW7" si="51">SUM(L9,L11,L13,L15,L18,L20)</f>
        <v>518</v>
      </c>
      <c r="M7" s="6">
        <f t="shared" si="51"/>
        <v>89</v>
      </c>
      <c r="N7" s="53">
        <f t="shared" si="22"/>
        <v>0.9135802469135802</v>
      </c>
      <c r="O7" s="6">
        <f t="shared" si="51"/>
        <v>509</v>
      </c>
      <c r="P7" s="6">
        <f t="shared" si="51"/>
        <v>95</v>
      </c>
      <c r="Q7" s="53">
        <f t="shared" si="24"/>
        <v>0.89770723104056438</v>
      </c>
      <c r="R7" s="6">
        <f t="shared" si="51"/>
        <v>355</v>
      </c>
      <c r="S7" s="6">
        <f t="shared" si="51"/>
        <v>253</v>
      </c>
      <c r="T7" s="53">
        <f t="shared" si="26"/>
        <v>0.62610229276895946</v>
      </c>
      <c r="U7" s="17">
        <f t="shared" si="51"/>
        <v>74</v>
      </c>
      <c r="V7" s="17">
        <f t="shared" si="51"/>
        <v>524</v>
      </c>
      <c r="W7" s="75">
        <f t="shared" si="28"/>
        <v>0.13051146384479717</v>
      </c>
      <c r="X7" s="28">
        <f t="shared" ref="X7:Y7" si="52">SUM(X9,X11,X13,X15,X18,X20)</f>
        <v>0</v>
      </c>
      <c r="Y7" s="6">
        <f t="shared" si="52"/>
        <v>0</v>
      </c>
      <c r="Z7" s="29">
        <f t="shared" si="51"/>
        <v>0</v>
      </c>
      <c r="AA7" s="23">
        <f t="shared" si="51"/>
        <v>119</v>
      </c>
      <c r="AB7" s="6">
        <f t="shared" si="51"/>
        <v>479</v>
      </c>
      <c r="AC7" s="53">
        <f t="shared" si="32"/>
        <v>0.20987654320987653</v>
      </c>
      <c r="AD7" s="6">
        <f t="shared" si="51"/>
        <v>372</v>
      </c>
      <c r="AE7" s="6">
        <f t="shared" si="51"/>
        <v>227</v>
      </c>
      <c r="AF7" s="53">
        <f t="shared" si="34"/>
        <v>0.65608465608465605</v>
      </c>
      <c r="AG7" s="6">
        <f t="shared" si="51"/>
        <v>474</v>
      </c>
      <c r="AH7" s="6">
        <f t="shared" si="51"/>
        <v>120</v>
      </c>
      <c r="AI7" s="53">
        <f t="shared" si="36"/>
        <v>0.83597883597883593</v>
      </c>
      <c r="AJ7" s="6">
        <f t="shared" si="51"/>
        <v>507</v>
      </c>
      <c r="AK7" s="6">
        <f t="shared" si="51"/>
        <v>101</v>
      </c>
      <c r="AL7" s="53">
        <f t="shared" si="38"/>
        <v>0.89417989417989419</v>
      </c>
      <c r="AM7" s="6">
        <f t="shared" si="51"/>
        <v>513</v>
      </c>
      <c r="AN7" s="6">
        <f t="shared" si="51"/>
        <v>92</v>
      </c>
      <c r="AO7" s="53">
        <f t="shared" si="40"/>
        <v>0.90476190476190477</v>
      </c>
      <c r="AP7" s="6">
        <f t="shared" si="51"/>
        <v>533</v>
      </c>
      <c r="AQ7" s="6">
        <f t="shared" si="51"/>
        <v>71</v>
      </c>
      <c r="AR7" s="53">
        <f t="shared" si="42"/>
        <v>0.94003527336860671</v>
      </c>
      <c r="AS7" s="6">
        <f t="shared" si="51"/>
        <v>533</v>
      </c>
      <c r="AT7" s="6">
        <f t="shared" si="51"/>
        <v>71</v>
      </c>
      <c r="AU7" s="53">
        <f t="shared" si="44"/>
        <v>0.94003527336860671</v>
      </c>
      <c r="AV7" s="6">
        <f t="shared" si="51"/>
        <v>533</v>
      </c>
      <c r="AW7" s="6">
        <f t="shared" si="51"/>
        <v>73</v>
      </c>
      <c r="AX7" s="53">
        <f t="shared" si="46"/>
        <v>0.94003527336860671</v>
      </c>
      <c r="AY7" s="6">
        <f t="shared" ref="AY7:AZ7" si="53">SUM(AY9,AY11,AY13,AY15,AY18,AY20)</f>
        <v>533</v>
      </c>
      <c r="AZ7" s="6">
        <f t="shared" si="53"/>
        <v>73</v>
      </c>
      <c r="BA7" s="53">
        <f t="shared" si="48"/>
        <v>0.94003527336860671</v>
      </c>
    </row>
    <row r="8" spans="2:53" ht="29.25" customHeight="1">
      <c r="B8" s="99">
        <v>1</v>
      </c>
      <c r="C8" s="100" t="s">
        <v>6</v>
      </c>
      <c r="D8" s="35" t="s">
        <v>36</v>
      </c>
      <c r="E8" s="48">
        <f>SUM(F8:G8)</f>
        <v>325</v>
      </c>
      <c r="F8" s="7">
        <v>319</v>
      </c>
      <c r="G8" s="7">
        <v>6</v>
      </c>
      <c r="H8" s="54">
        <v>1.8461538461538463E-2</v>
      </c>
      <c r="I8" s="7">
        <v>318</v>
      </c>
      <c r="J8" s="7">
        <v>7</v>
      </c>
      <c r="K8" s="54">
        <v>2.1538461538461538E-2</v>
      </c>
      <c r="L8" s="7">
        <v>318</v>
      </c>
      <c r="M8" s="7">
        <v>7</v>
      </c>
      <c r="N8" s="54">
        <v>2.1538461538461538E-2</v>
      </c>
      <c r="O8" s="7">
        <v>315</v>
      </c>
      <c r="P8" s="7">
        <v>10</v>
      </c>
      <c r="Q8" s="54">
        <v>3.0769230769230771E-2</v>
      </c>
      <c r="R8" s="118">
        <v>302</v>
      </c>
      <c r="S8" s="118">
        <v>22</v>
      </c>
      <c r="T8" s="119">
        <v>6.7692307692307691E-2</v>
      </c>
      <c r="U8" s="118">
        <v>80</v>
      </c>
      <c r="V8" s="118">
        <v>245</v>
      </c>
      <c r="W8" s="120">
        <v>0.75384615384615383</v>
      </c>
      <c r="X8" s="121"/>
      <c r="Y8" s="118"/>
      <c r="Z8" s="122">
        <v>0</v>
      </c>
      <c r="AA8" s="123">
        <v>213</v>
      </c>
      <c r="AB8" s="118">
        <v>112</v>
      </c>
      <c r="AC8" s="119">
        <v>0.3446153846153846</v>
      </c>
      <c r="AD8" s="118">
        <v>307</v>
      </c>
      <c r="AE8" s="118">
        <v>18</v>
      </c>
      <c r="AF8" s="119">
        <v>5.5384615384615386E-2</v>
      </c>
      <c r="AG8" s="118">
        <v>315</v>
      </c>
      <c r="AH8" s="7">
        <v>10</v>
      </c>
      <c r="AI8" s="54">
        <v>3.0769230769230771E-2</v>
      </c>
      <c r="AJ8" s="7">
        <v>317</v>
      </c>
      <c r="AK8" s="7">
        <v>8</v>
      </c>
      <c r="AL8" s="54">
        <v>2.4615384615384615E-2</v>
      </c>
      <c r="AM8" s="7">
        <v>319</v>
      </c>
      <c r="AN8" s="7">
        <v>6</v>
      </c>
      <c r="AO8" s="54">
        <v>1.8461538461538463E-2</v>
      </c>
      <c r="AP8" s="7">
        <v>320</v>
      </c>
      <c r="AQ8" s="7">
        <v>5</v>
      </c>
      <c r="AR8" s="54">
        <v>1.5384615384615385E-2</v>
      </c>
      <c r="AS8" s="7">
        <v>320</v>
      </c>
      <c r="AT8" s="7">
        <v>5</v>
      </c>
      <c r="AU8" s="54">
        <v>1.5384615384615385E-2</v>
      </c>
      <c r="AV8" s="7">
        <v>320</v>
      </c>
      <c r="AW8" s="7">
        <v>5</v>
      </c>
      <c r="AX8" s="54">
        <v>1.5384615384615385E-2</v>
      </c>
      <c r="AY8" s="7">
        <v>320</v>
      </c>
      <c r="AZ8" s="7">
        <v>5</v>
      </c>
      <c r="BA8" s="54">
        <v>1.5384615384615385E-2</v>
      </c>
    </row>
    <row r="9" spans="2:53" ht="29.25" customHeight="1">
      <c r="B9" s="93"/>
      <c r="C9" s="93"/>
      <c r="D9" s="33" t="s">
        <v>38</v>
      </c>
      <c r="E9" s="46">
        <f t="shared" ref="E9:E20" si="54">SUM(F9:G9)</f>
        <v>350</v>
      </c>
      <c r="F9" s="5">
        <v>335</v>
      </c>
      <c r="G9" s="5">
        <v>15</v>
      </c>
      <c r="H9" s="52">
        <f t="shared" si="18"/>
        <v>0.95714285714285718</v>
      </c>
      <c r="I9" s="5">
        <v>315</v>
      </c>
      <c r="J9" s="5">
        <v>35</v>
      </c>
      <c r="K9" s="52">
        <f t="shared" si="20"/>
        <v>0.9</v>
      </c>
      <c r="L9" s="5">
        <v>302</v>
      </c>
      <c r="M9" s="5">
        <v>48</v>
      </c>
      <c r="N9" s="52">
        <f t="shared" si="22"/>
        <v>0.86285714285714288</v>
      </c>
      <c r="O9" s="5">
        <v>293</v>
      </c>
      <c r="P9" s="5">
        <v>57</v>
      </c>
      <c r="Q9" s="52">
        <f t="shared" si="24"/>
        <v>0.83714285714285719</v>
      </c>
      <c r="R9" s="39">
        <v>140</v>
      </c>
      <c r="S9" s="39">
        <v>210</v>
      </c>
      <c r="T9" s="55">
        <f t="shared" si="26"/>
        <v>0.4</v>
      </c>
      <c r="U9" s="39">
        <v>0</v>
      </c>
      <c r="V9" s="39">
        <v>350</v>
      </c>
      <c r="W9" s="40">
        <f t="shared" si="28"/>
        <v>0</v>
      </c>
      <c r="X9" s="41">
        <v>0</v>
      </c>
      <c r="Y9" s="39"/>
      <c r="Z9" s="42">
        <v>0</v>
      </c>
      <c r="AA9" s="50">
        <v>16</v>
      </c>
      <c r="AB9" s="39">
        <v>334</v>
      </c>
      <c r="AC9" s="55">
        <f t="shared" si="32"/>
        <v>4.5714285714285714E-2</v>
      </c>
      <c r="AD9" s="39">
        <v>184</v>
      </c>
      <c r="AE9" s="39">
        <v>166</v>
      </c>
      <c r="AF9" s="55">
        <f t="shared" si="34"/>
        <v>0.52571428571428569</v>
      </c>
      <c r="AG9" s="39">
        <v>260</v>
      </c>
      <c r="AH9" s="5">
        <v>90</v>
      </c>
      <c r="AI9" s="52">
        <f t="shared" si="36"/>
        <v>0.74285714285714288</v>
      </c>
      <c r="AJ9" s="5">
        <v>294</v>
      </c>
      <c r="AK9" s="5">
        <v>56</v>
      </c>
      <c r="AL9" s="52">
        <f t="shared" si="38"/>
        <v>0.84</v>
      </c>
      <c r="AM9" s="5">
        <v>297</v>
      </c>
      <c r="AN9" s="5">
        <v>53</v>
      </c>
      <c r="AO9" s="52">
        <f t="shared" si="40"/>
        <v>0.84857142857142853</v>
      </c>
      <c r="AP9" s="5">
        <v>317</v>
      </c>
      <c r="AQ9" s="5">
        <v>33</v>
      </c>
      <c r="AR9" s="52">
        <f t="shared" si="42"/>
        <v>0.90571428571428569</v>
      </c>
      <c r="AS9" s="5">
        <v>317</v>
      </c>
      <c r="AT9" s="5">
        <v>33</v>
      </c>
      <c r="AU9" s="52">
        <f t="shared" si="44"/>
        <v>0.90571428571428569</v>
      </c>
      <c r="AV9" s="5">
        <v>317</v>
      </c>
      <c r="AW9" s="5">
        <v>33</v>
      </c>
      <c r="AX9" s="52">
        <f t="shared" si="46"/>
        <v>0.90571428571428569</v>
      </c>
      <c r="AY9" s="5">
        <v>317</v>
      </c>
      <c r="AZ9" s="5">
        <v>33</v>
      </c>
      <c r="BA9" s="52">
        <f t="shared" si="48"/>
        <v>0.90571428571428569</v>
      </c>
    </row>
    <row r="10" spans="2:53" ht="29.25" customHeight="1">
      <c r="B10" s="93">
        <v>2</v>
      </c>
      <c r="C10" s="94" t="s">
        <v>8</v>
      </c>
      <c r="D10" s="36" t="s">
        <v>35</v>
      </c>
      <c r="E10" s="46">
        <f t="shared" si="54"/>
        <v>105</v>
      </c>
      <c r="F10" s="5">
        <v>102</v>
      </c>
      <c r="G10" s="5">
        <v>3</v>
      </c>
      <c r="H10" s="52">
        <f t="shared" si="18"/>
        <v>0.97142857142857142</v>
      </c>
      <c r="I10" s="5">
        <v>103</v>
      </c>
      <c r="J10" s="5">
        <v>2</v>
      </c>
      <c r="K10" s="52">
        <f t="shared" si="20"/>
        <v>0.98095238095238091</v>
      </c>
      <c r="L10" s="5">
        <v>103</v>
      </c>
      <c r="M10" s="5">
        <v>2</v>
      </c>
      <c r="N10" s="52">
        <f t="shared" si="22"/>
        <v>0.98095238095238091</v>
      </c>
      <c r="O10" s="5">
        <v>101</v>
      </c>
      <c r="P10" s="5">
        <v>4</v>
      </c>
      <c r="Q10" s="52">
        <f t="shared" si="24"/>
        <v>0.96190476190476193</v>
      </c>
      <c r="R10" s="5">
        <v>99</v>
      </c>
      <c r="S10" s="5">
        <v>6</v>
      </c>
      <c r="T10" s="52">
        <f t="shared" si="26"/>
        <v>0.94285714285714284</v>
      </c>
      <c r="U10" s="5">
        <v>20</v>
      </c>
      <c r="V10" s="5">
        <v>85</v>
      </c>
      <c r="W10" s="37">
        <f t="shared" si="28"/>
        <v>0.19047619047619047</v>
      </c>
      <c r="X10" s="26"/>
      <c r="Y10" s="5"/>
      <c r="Z10" s="27">
        <v>0</v>
      </c>
      <c r="AA10" s="22">
        <v>52</v>
      </c>
      <c r="AB10" s="5">
        <v>53</v>
      </c>
      <c r="AC10" s="52">
        <f t="shared" si="32"/>
        <v>0.49523809523809526</v>
      </c>
      <c r="AD10" s="5">
        <v>97</v>
      </c>
      <c r="AE10" s="5">
        <v>8</v>
      </c>
      <c r="AF10" s="52">
        <f t="shared" si="34"/>
        <v>0.92380952380952386</v>
      </c>
      <c r="AG10" s="5">
        <v>100</v>
      </c>
      <c r="AH10" s="5">
        <v>5</v>
      </c>
      <c r="AI10" s="52">
        <f t="shared" si="36"/>
        <v>0.95238095238095233</v>
      </c>
      <c r="AJ10" s="5">
        <v>101</v>
      </c>
      <c r="AK10" s="5">
        <v>4</v>
      </c>
      <c r="AL10" s="52">
        <f t="shared" si="38"/>
        <v>0.96190476190476193</v>
      </c>
      <c r="AM10" s="5">
        <v>101</v>
      </c>
      <c r="AN10" s="5">
        <v>4</v>
      </c>
      <c r="AO10" s="52">
        <f t="shared" si="40"/>
        <v>0.96190476190476193</v>
      </c>
      <c r="AP10" s="5">
        <v>101</v>
      </c>
      <c r="AQ10" s="5">
        <v>4</v>
      </c>
      <c r="AR10" s="52">
        <f t="shared" si="42"/>
        <v>0.96190476190476193</v>
      </c>
      <c r="AS10" s="5">
        <v>101</v>
      </c>
      <c r="AT10" s="5">
        <v>4</v>
      </c>
      <c r="AU10" s="52">
        <f t="shared" si="44"/>
        <v>0.96190476190476193</v>
      </c>
      <c r="AV10" s="5">
        <v>101</v>
      </c>
      <c r="AW10" s="5">
        <v>4</v>
      </c>
      <c r="AX10" s="52">
        <f t="shared" si="46"/>
        <v>0.96190476190476193</v>
      </c>
      <c r="AY10" s="5">
        <v>101</v>
      </c>
      <c r="AZ10" s="5">
        <v>4</v>
      </c>
      <c r="BA10" s="52">
        <f t="shared" si="48"/>
        <v>0.96190476190476193</v>
      </c>
    </row>
    <row r="11" spans="2:53" ht="29.25" customHeight="1">
      <c r="B11" s="93"/>
      <c r="C11" s="93"/>
      <c r="D11" s="33" t="s">
        <v>37</v>
      </c>
      <c r="E11" s="46">
        <f t="shared" si="54"/>
        <v>121</v>
      </c>
      <c r="F11" s="5">
        <v>121</v>
      </c>
      <c r="G11" s="5">
        <v>0</v>
      </c>
      <c r="H11" s="52">
        <f t="shared" si="18"/>
        <v>1</v>
      </c>
      <c r="I11" s="5">
        <v>121</v>
      </c>
      <c r="J11" s="5">
        <v>0</v>
      </c>
      <c r="K11" s="52">
        <f t="shared" si="20"/>
        <v>1</v>
      </c>
      <c r="L11" s="5">
        <v>121</v>
      </c>
      <c r="M11" s="5">
        <v>0</v>
      </c>
      <c r="N11" s="52">
        <f t="shared" si="22"/>
        <v>1</v>
      </c>
      <c r="O11" s="5">
        <v>121</v>
      </c>
      <c r="P11" s="5">
        <v>0</v>
      </c>
      <c r="Q11" s="52">
        <f t="shared" si="24"/>
        <v>1</v>
      </c>
      <c r="R11" s="5">
        <v>120</v>
      </c>
      <c r="S11" s="5">
        <v>1</v>
      </c>
      <c r="T11" s="52">
        <f t="shared" si="26"/>
        <v>0.99173553719008267</v>
      </c>
      <c r="U11" s="5">
        <v>8</v>
      </c>
      <c r="V11" s="5">
        <v>113</v>
      </c>
      <c r="W11" s="37">
        <f t="shared" si="28"/>
        <v>6.6115702479338845E-2</v>
      </c>
      <c r="X11" s="26"/>
      <c r="Y11" s="5"/>
      <c r="Z11" s="27">
        <v>0</v>
      </c>
      <c r="AA11" s="22">
        <v>33</v>
      </c>
      <c r="AB11" s="5">
        <v>88</v>
      </c>
      <c r="AC11" s="52">
        <f t="shared" si="32"/>
        <v>0.27272727272727271</v>
      </c>
      <c r="AD11" s="5">
        <v>118</v>
      </c>
      <c r="AE11" s="5">
        <v>3</v>
      </c>
      <c r="AF11" s="52">
        <f t="shared" si="34"/>
        <v>0.97520661157024791</v>
      </c>
      <c r="AG11" s="5">
        <v>119</v>
      </c>
      <c r="AH11" s="5">
        <v>2</v>
      </c>
      <c r="AI11" s="52">
        <f t="shared" si="36"/>
        <v>0.98347107438016534</v>
      </c>
      <c r="AJ11" s="5">
        <v>121</v>
      </c>
      <c r="AK11" s="5">
        <v>0</v>
      </c>
      <c r="AL11" s="52">
        <f t="shared" si="38"/>
        <v>1</v>
      </c>
      <c r="AM11" s="5">
        <v>121</v>
      </c>
      <c r="AN11" s="5">
        <v>0</v>
      </c>
      <c r="AO11" s="52">
        <f t="shared" si="40"/>
        <v>1</v>
      </c>
      <c r="AP11" s="5">
        <v>121</v>
      </c>
      <c r="AQ11" s="5">
        <v>0</v>
      </c>
      <c r="AR11" s="52">
        <f t="shared" si="42"/>
        <v>1</v>
      </c>
      <c r="AS11" s="5">
        <v>121</v>
      </c>
      <c r="AT11" s="5">
        <v>0</v>
      </c>
      <c r="AU11" s="52">
        <f t="shared" si="44"/>
        <v>1</v>
      </c>
      <c r="AV11" s="5">
        <v>121</v>
      </c>
      <c r="AW11" s="5">
        <v>0</v>
      </c>
      <c r="AX11" s="52">
        <f t="shared" si="46"/>
        <v>1</v>
      </c>
      <c r="AY11" s="5">
        <v>121</v>
      </c>
      <c r="AZ11" s="5">
        <v>0</v>
      </c>
      <c r="BA11" s="52">
        <f t="shared" si="48"/>
        <v>1</v>
      </c>
    </row>
    <row r="12" spans="2:53" ht="29.25" customHeight="1">
      <c r="B12" s="104">
        <v>3</v>
      </c>
      <c r="C12" s="105" t="s">
        <v>4</v>
      </c>
      <c r="D12" s="65" t="s">
        <v>35</v>
      </c>
      <c r="E12" s="66">
        <f>SUM(F12)</f>
        <v>46</v>
      </c>
      <c r="F12" s="67">
        <v>46</v>
      </c>
      <c r="G12" s="67">
        <v>43</v>
      </c>
      <c r="H12" s="68">
        <f t="shared" si="18"/>
        <v>1</v>
      </c>
      <c r="I12" s="67">
        <v>46</v>
      </c>
      <c r="J12" s="67">
        <v>43</v>
      </c>
      <c r="K12" s="68">
        <f t="shared" si="20"/>
        <v>1</v>
      </c>
      <c r="L12" s="67">
        <v>46</v>
      </c>
      <c r="M12" s="67">
        <v>41</v>
      </c>
      <c r="N12" s="68">
        <f t="shared" si="22"/>
        <v>1</v>
      </c>
      <c r="O12" s="67">
        <v>46</v>
      </c>
      <c r="P12" s="67">
        <v>43</v>
      </c>
      <c r="Q12" s="68">
        <f t="shared" si="24"/>
        <v>1</v>
      </c>
      <c r="R12" s="67">
        <v>46</v>
      </c>
      <c r="S12" s="67">
        <v>42</v>
      </c>
      <c r="T12" s="68">
        <f t="shared" si="26"/>
        <v>1</v>
      </c>
      <c r="U12" s="67">
        <v>46</v>
      </c>
      <c r="V12" s="67">
        <v>11</v>
      </c>
      <c r="W12" s="76">
        <f t="shared" si="28"/>
        <v>1</v>
      </c>
      <c r="X12" s="87"/>
      <c r="Y12" s="67"/>
      <c r="Z12" s="88">
        <f t="shared" ref="Z8:Z20" si="55">IFERROR(Y12/$E12,"")</f>
        <v>0</v>
      </c>
      <c r="AA12" s="80">
        <v>46</v>
      </c>
      <c r="AB12" s="67">
        <v>25</v>
      </c>
      <c r="AC12" s="68">
        <f t="shared" si="32"/>
        <v>1</v>
      </c>
      <c r="AD12" s="67">
        <v>46</v>
      </c>
      <c r="AE12" s="67">
        <v>30</v>
      </c>
      <c r="AF12" s="68">
        <f t="shared" si="34"/>
        <v>1</v>
      </c>
      <c r="AG12" s="67">
        <v>46</v>
      </c>
      <c r="AH12" s="67">
        <v>26</v>
      </c>
      <c r="AI12" s="68">
        <f t="shared" si="36"/>
        <v>1</v>
      </c>
      <c r="AJ12" s="67">
        <v>46</v>
      </c>
      <c r="AK12" s="67">
        <v>46</v>
      </c>
      <c r="AL12" s="68">
        <f t="shared" si="38"/>
        <v>1</v>
      </c>
      <c r="AM12" s="67">
        <v>46</v>
      </c>
      <c r="AN12" s="67">
        <v>45</v>
      </c>
      <c r="AO12" s="68">
        <f t="shared" si="40"/>
        <v>1</v>
      </c>
      <c r="AP12" s="67">
        <v>46</v>
      </c>
      <c r="AQ12" s="67">
        <v>45</v>
      </c>
      <c r="AR12" s="68">
        <f t="shared" si="42"/>
        <v>1</v>
      </c>
      <c r="AS12" s="67">
        <v>46</v>
      </c>
      <c r="AT12" s="67">
        <v>44</v>
      </c>
      <c r="AU12" s="68">
        <f t="shared" si="44"/>
        <v>1</v>
      </c>
      <c r="AV12" s="67">
        <v>46</v>
      </c>
      <c r="AW12" s="67">
        <v>45</v>
      </c>
      <c r="AX12" s="68">
        <f t="shared" si="46"/>
        <v>1</v>
      </c>
      <c r="AY12" s="67">
        <v>46</v>
      </c>
      <c r="AZ12" s="67">
        <v>45</v>
      </c>
      <c r="BA12" s="68">
        <f t="shared" si="48"/>
        <v>1</v>
      </c>
    </row>
    <row r="13" spans="2:53" ht="29.25" customHeight="1">
      <c r="B13" s="104"/>
      <c r="C13" s="104"/>
      <c r="D13" s="69" t="s">
        <v>37</v>
      </c>
      <c r="E13" s="66">
        <f>SUM(F13)</f>
        <v>39</v>
      </c>
      <c r="F13" s="67">
        <v>39</v>
      </c>
      <c r="G13" s="67">
        <v>38</v>
      </c>
      <c r="H13" s="68">
        <f t="shared" si="18"/>
        <v>1</v>
      </c>
      <c r="I13" s="67">
        <v>39</v>
      </c>
      <c r="J13" s="67">
        <v>37</v>
      </c>
      <c r="K13" s="68">
        <f t="shared" si="20"/>
        <v>1</v>
      </c>
      <c r="L13" s="67">
        <v>39</v>
      </c>
      <c r="M13" s="67">
        <v>39</v>
      </c>
      <c r="N13" s="68">
        <f t="shared" si="22"/>
        <v>1</v>
      </c>
      <c r="O13" s="67">
        <v>39</v>
      </c>
      <c r="P13" s="67">
        <v>37</v>
      </c>
      <c r="Q13" s="68">
        <f t="shared" si="24"/>
        <v>1</v>
      </c>
      <c r="R13" s="67">
        <v>39</v>
      </c>
      <c r="S13" s="67">
        <v>38</v>
      </c>
      <c r="T13" s="68">
        <f t="shared" si="26"/>
        <v>1</v>
      </c>
      <c r="U13" s="67">
        <v>39</v>
      </c>
      <c r="V13" s="67">
        <v>10</v>
      </c>
      <c r="W13" s="76">
        <f t="shared" si="28"/>
        <v>1</v>
      </c>
      <c r="X13" s="87"/>
      <c r="Y13" s="67"/>
      <c r="Z13" s="88">
        <f t="shared" si="55"/>
        <v>0</v>
      </c>
      <c r="AA13" s="80">
        <v>39</v>
      </c>
      <c r="AB13" s="67">
        <v>20</v>
      </c>
      <c r="AC13" s="68">
        <f t="shared" si="32"/>
        <v>1</v>
      </c>
      <c r="AD13" s="67">
        <v>39</v>
      </c>
      <c r="AE13" s="67">
        <v>30</v>
      </c>
      <c r="AF13" s="68">
        <f t="shared" si="34"/>
        <v>1</v>
      </c>
      <c r="AG13" s="67">
        <v>39</v>
      </c>
      <c r="AH13" s="67">
        <v>25</v>
      </c>
      <c r="AI13" s="68">
        <f t="shared" si="36"/>
        <v>1</v>
      </c>
      <c r="AJ13" s="67">
        <v>39</v>
      </c>
      <c r="AK13" s="67">
        <v>39</v>
      </c>
      <c r="AL13" s="68">
        <f t="shared" si="38"/>
        <v>1</v>
      </c>
      <c r="AM13" s="67">
        <v>39</v>
      </c>
      <c r="AN13" s="67">
        <v>38</v>
      </c>
      <c r="AO13" s="68">
        <f t="shared" si="40"/>
        <v>1</v>
      </c>
      <c r="AP13" s="67">
        <v>39</v>
      </c>
      <c r="AQ13" s="67">
        <v>38</v>
      </c>
      <c r="AR13" s="68">
        <f t="shared" si="42"/>
        <v>1</v>
      </c>
      <c r="AS13" s="67">
        <v>39</v>
      </c>
      <c r="AT13" s="67">
        <v>37</v>
      </c>
      <c r="AU13" s="68">
        <f t="shared" si="44"/>
        <v>1</v>
      </c>
      <c r="AV13" s="67">
        <v>39</v>
      </c>
      <c r="AW13" s="67">
        <v>38</v>
      </c>
      <c r="AX13" s="68">
        <f t="shared" si="46"/>
        <v>1</v>
      </c>
      <c r="AY13" s="67">
        <v>39</v>
      </c>
      <c r="AZ13" s="67">
        <v>38</v>
      </c>
      <c r="BA13" s="68">
        <f t="shared" si="48"/>
        <v>1</v>
      </c>
    </row>
    <row r="14" spans="2:53" s="43" customFormat="1" ht="29.25" customHeight="1">
      <c r="B14" s="106">
        <v>4</v>
      </c>
      <c r="C14" s="107" t="s">
        <v>39</v>
      </c>
      <c r="D14" s="38" t="s">
        <v>35</v>
      </c>
      <c r="E14" s="49">
        <f t="shared" si="54"/>
        <v>29</v>
      </c>
      <c r="F14" s="39">
        <v>27</v>
      </c>
      <c r="G14" s="39">
        <v>2</v>
      </c>
      <c r="H14" s="55">
        <f t="shared" si="18"/>
        <v>0.93103448275862066</v>
      </c>
      <c r="I14" s="39">
        <v>27</v>
      </c>
      <c r="J14" s="39">
        <v>1</v>
      </c>
      <c r="K14" s="55">
        <f t="shared" si="20"/>
        <v>0.93103448275862066</v>
      </c>
      <c r="L14" s="39">
        <v>27</v>
      </c>
      <c r="M14" s="39">
        <v>0</v>
      </c>
      <c r="N14" s="55">
        <f t="shared" si="22"/>
        <v>0.93103448275862066</v>
      </c>
      <c r="O14" s="39">
        <v>27</v>
      </c>
      <c r="P14" s="39">
        <v>1</v>
      </c>
      <c r="Q14" s="55">
        <f t="shared" si="24"/>
        <v>0.93103448275862066</v>
      </c>
      <c r="R14" s="39">
        <v>27</v>
      </c>
      <c r="S14" s="39">
        <v>5</v>
      </c>
      <c r="T14" s="55">
        <f t="shared" si="26"/>
        <v>0.93103448275862066</v>
      </c>
      <c r="U14" s="39">
        <v>27</v>
      </c>
      <c r="V14" s="39">
        <v>21</v>
      </c>
      <c r="W14" s="40">
        <f t="shared" si="28"/>
        <v>0.93103448275862066</v>
      </c>
      <c r="X14" s="41"/>
      <c r="Y14" s="39"/>
      <c r="Z14" s="42">
        <f t="shared" si="55"/>
        <v>0</v>
      </c>
      <c r="AA14" s="50">
        <v>27</v>
      </c>
      <c r="AB14" s="39">
        <v>13</v>
      </c>
      <c r="AC14" s="55">
        <f t="shared" si="32"/>
        <v>0.93103448275862066</v>
      </c>
      <c r="AD14" s="39">
        <v>27</v>
      </c>
      <c r="AE14" s="39">
        <v>5</v>
      </c>
      <c r="AF14" s="55">
        <f t="shared" si="34"/>
        <v>0.93103448275862066</v>
      </c>
      <c r="AG14" s="39">
        <v>27</v>
      </c>
      <c r="AH14" s="39">
        <v>3</v>
      </c>
      <c r="AI14" s="55">
        <f t="shared" si="36"/>
        <v>0.93103448275862066</v>
      </c>
      <c r="AJ14" s="39">
        <v>27</v>
      </c>
      <c r="AK14" s="39">
        <v>5</v>
      </c>
      <c r="AL14" s="55">
        <f t="shared" si="38"/>
        <v>0.93103448275862066</v>
      </c>
      <c r="AM14" s="39">
        <v>27</v>
      </c>
      <c r="AN14" s="39">
        <v>2</v>
      </c>
      <c r="AO14" s="55">
        <f t="shared" si="40"/>
        <v>0.93103448275862066</v>
      </c>
      <c r="AP14" s="39">
        <v>27</v>
      </c>
      <c r="AQ14" s="39">
        <v>0</v>
      </c>
      <c r="AR14" s="55">
        <f t="shared" si="42"/>
        <v>0.93103448275862066</v>
      </c>
      <c r="AS14" s="39">
        <v>27</v>
      </c>
      <c r="AT14" s="39">
        <v>1</v>
      </c>
      <c r="AU14" s="55">
        <f t="shared" si="44"/>
        <v>0.93103448275862066</v>
      </c>
      <c r="AV14" s="39">
        <v>27</v>
      </c>
      <c r="AW14" s="39">
        <v>0</v>
      </c>
      <c r="AX14" s="55">
        <f t="shared" si="46"/>
        <v>0.93103448275862066</v>
      </c>
      <c r="AY14" s="39">
        <v>27</v>
      </c>
      <c r="AZ14" s="39">
        <v>2</v>
      </c>
      <c r="BA14" s="55">
        <f t="shared" si="48"/>
        <v>0.93103448275862066</v>
      </c>
    </row>
    <row r="15" spans="2:53" s="43" customFormat="1" ht="29.25" customHeight="1">
      <c r="B15" s="106"/>
      <c r="C15" s="106"/>
      <c r="D15" s="44" t="s">
        <v>37</v>
      </c>
      <c r="E15" s="49">
        <f t="shared" si="54"/>
        <v>27</v>
      </c>
      <c r="F15" s="39">
        <v>26</v>
      </c>
      <c r="G15" s="39">
        <v>1</v>
      </c>
      <c r="H15" s="55">
        <f t="shared" si="18"/>
        <v>0.96296296296296291</v>
      </c>
      <c r="I15" s="39">
        <v>26</v>
      </c>
      <c r="J15" s="39">
        <v>1</v>
      </c>
      <c r="K15" s="55">
        <f t="shared" si="20"/>
        <v>0.96296296296296291</v>
      </c>
      <c r="L15" s="39">
        <v>26</v>
      </c>
      <c r="M15" s="39">
        <v>2</v>
      </c>
      <c r="N15" s="55">
        <f t="shared" si="22"/>
        <v>0.96296296296296291</v>
      </c>
      <c r="O15" s="39">
        <v>26</v>
      </c>
      <c r="P15" s="39">
        <v>1</v>
      </c>
      <c r="Q15" s="55">
        <f t="shared" si="24"/>
        <v>0.96296296296296291</v>
      </c>
      <c r="R15" s="39">
        <v>26</v>
      </c>
      <c r="S15" s="39">
        <v>4</v>
      </c>
      <c r="T15" s="55">
        <f t="shared" si="26"/>
        <v>0.96296296296296291</v>
      </c>
      <c r="U15" s="39">
        <v>26</v>
      </c>
      <c r="V15" s="39">
        <v>22</v>
      </c>
      <c r="W15" s="40">
        <f t="shared" si="28"/>
        <v>0.96296296296296291</v>
      </c>
      <c r="X15" s="41"/>
      <c r="Y15" s="39"/>
      <c r="Z15" s="42">
        <f t="shared" si="55"/>
        <v>0</v>
      </c>
      <c r="AA15" s="50">
        <v>26</v>
      </c>
      <c r="AB15" s="39">
        <v>12</v>
      </c>
      <c r="AC15" s="55">
        <f t="shared" si="32"/>
        <v>0.96296296296296291</v>
      </c>
      <c r="AD15" s="39">
        <v>26</v>
      </c>
      <c r="AE15" s="39">
        <v>3</v>
      </c>
      <c r="AF15" s="55">
        <f t="shared" si="34"/>
        <v>0.96296296296296291</v>
      </c>
      <c r="AG15" s="39">
        <v>26</v>
      </c>
      <c r="AH15" s="39">
        <v>3</v>
      </c>
      <c r="AI15" s="55">
        <f t="shared" si="36"/>
        <v>0.96296296296296291</v>
      </c>
      <c r="AJ15" s="39">
        <v>26</v>
      </c>
      <c r="AK15" s="39">
        <v>3</v>
      </c>
      <c r="AL15" s="55">
        <f t="shared" si="38"/>
        <v>0.96296296296296291</v>
      </c>
      <c r="AM15" s="39">
        <v>26</v>
      </c>
      <c r="AN15" s="39">
        <v>1</v>
      </c>
      <c r="AO15" s="55">
        <f t="shared" si="40"/>
        <v>0.96296296296296291</v>
      </c>
      <c r="AP15" s="39">
        <v>26</v>
      </c>
      <c r="AQ15" s="39">
        <v>0</v>
      </c>
      <c r="AR15" s="55">
        <f t="shared" si="42"/>
        <v>0.96296296296296291</v>
      </c>
      <c r="AS15" s="39">
        <v>26</v>
      </c>
      <c r="AT15" s="39">
        <v>1</v>
      </c>
      <c r="AU15" s="55">
        <f t="shared" si="44"/>
        <v>0.96296296296296291</v>
      </c>
      <c r="AV15" s="39">
        <v>26</v>
      </c>
      <c r="AW15" s="39">
        <v>2</v>
      </c>
      <c r="AX15" s="55">
        <f t="shared" si="46"/>
        <v>0.96296296296296291</v>
      </c>
      <c r="AY15" s="39">
        <v>26</v>
      </c>
      <c r="AZ15" s="39">
        <v>2</v>
      </c>
      <c r="BA15" s="55">
        <f t="shared" si="48"/>
        <v>0.96296296296296291</v>
      </c>
    </row>
    <row r="16" spans="2:53" ht="29.25" customHeight="1">
      <c r="B16" s="93">
        <v>5</v>
      </c>
      <c r="C16" s="94" t="s">
        <v>40</v>
      </c>
      <c r="D16" s="36" t="s">
        <v>45</v>
      </c>
      <c r="E16" s="46">
        <v>16</v>
      </c>
      <c r="F16" s="5">
        <v>16</v>
      </c>
      <c r="G16" s="5">
        <v>0</v>
      </c>
      <c r="H16" s="52">
        <f t="shared" si="18"/>
        <v>1</v>
      </c>
      <c r="I16" s="5">
        <v>16</v>
      </c>
      <c r="J16" s="5">
        <v>0</v>
      </c>
      <c r="K16" s="52">
        <f t="shared" si="20"/>
        <v>1</v>
      </c>
      <c r="L16" s="5">
        <v>16</v>
      </c>
      <c r="M16" s="5">
        <v>0</v>
      </c>
      <c r="N16" s="52">
        <f t="shared" si="22"/>
        <v>1</v>
      </c>
      <c r="O16" s="5">
        <v>16</v>
      </c>
      <c r="P16" s="5">
        <v>0</v>
      </c>
      <c r="Q16" s="52">
        <f t="shared" si="24"/>
        <v>1</v>
      </c>
      <c r="R16" s="5">
        <v>16</v>
      </c>
      <c r="S16" s="5">
        <v>0</v>
      </c>
      <c r="T16" s="52">
        <f t="shared" si="26"/>
        <v>1</v>
      </c>
      <c r="U16" s="5">
        <v>5</v>
      </c>
      <c r="V16" s="5">
        <v>11</v>
      </c>
      <c r="W16" s="37">
        <f t="shared" si="28"/>
        <v>0.3125</v>
      </c>
      <c r="X16" s="26"/>
      <c r="Y16" s="5"/>
      <c r="Z16" s="27">
        <f t="shared" si="55"/>
        <v>0</v>
      </c>
      <c r="AA16" s="22">
        <v>6</v>
      </c>
      <c r="AB16" s="5">
        <v>10</v>
      </c>
      <c r="AC16" s="52">
        <f t="shared" si="32"/>
        <v>0.375</v>
      </c>
      <c r="AD16" s="5">
        <v>5</v>
      </c>
      <c r="AE16" s="5">
        <v>11</v>
      </c>
      <c r="AF16" s="52">
        <f t="shared" si="34"/>
        <v>0.3125</v>
      </c>
      <c r="AG16" s="5">
        <v>16</v>
      </c>
      <c r="AH16" s="5">
        <v>0</v>
      </c>
      <c r="AI16" s="52">
        <f t="shared" si="36"/>
        <v>1</v>
      </c>
      <c r="AJ16" s="5">
        <v>16</v>
      </c>
      <c r="AK16" s="5">
        <v>0</v>
      </c>
      <c r="AL16" s="52">
        <f t="shared" si="38"/>
        <v>1</v>
      </c>
      <c r="AM16" s="5">
        <v>16</v>
      </c>
      <c r="AN16" s="5">
        <v>0</v>
      </c>
      <c r="AO16" s="52">
        <f t="shared" si="40"/>
        <v>1</v>
      </c>
      <c r="AP16" s="5">
        <v>16</v>
      </c>
      <c r="AQ16" s="5">
        <v>0</v>
      </c>
      <c r="AR16" s="52">
        <f t="shared" si="42"/>
        <v>1</v>
      </c>
      <c r="AS16" s="5">
        <v>16</v>
      </c>
      <c r="AT16" s="5">
        <v>0</v>
      </c>
      <c r="AU16" s="52">
        <f t="shared" si="44"/>
        <v>1</v>
      </c>
      <c r="AV16" s="5">
        <v>16</v>
      </c>
      <c r="AW16" s="5">
        <v>0</v>
      </c>
      <c r="AX16" s="52">
        <f t="shared" si="46"/>
        <v>1</v>
      </c>
      <c r="AY16" s="5">
        <v>16</v>
      </c>
      <c r="AZ16" s="5">
        <v>0</v>
      </c>
      <c r="BA16" s="52">
        <f t="shared" si="48"/>
        <v>1</v>
      </c>
    </row>
    <row r="17" spans="2:53" ht="29.25" customHeight="1">
      <c r="B17" s="93"/>
      <c r="C17" s="94"/>
      <c r="D17" s="33" t="s">
        <v>35</v>
      </c>
      <c r="E17" s="46">
        <v>26</v>
      </c>
      <c r="F17" s="5">
        <v>26</v>
      </c>
      <c r="G17" s="5">
        <v>0</v>
      </c>
      <c r="H17" s="52">
        <f t="shared" si="18"/>
        <v>1</v>
      </c>
      <c r="I17" s="5">
        <v>26</v>
      </c>
      <c r="J17" s="5">
        <v>0</v>
      </c>
      <c r="K17" s="52">
        <f t="shared" si="20"/>
        <v>1</v>
      </c>
      <c r="L17" s="5">
        <v>26</v>
      </c>
      <c r="M17" s="5">
        <v>0</v>
      </c>
      <c r="N17" s="52">
        <f t="shared" si="22"/>
        <v>1</v>
      </c>
      <c r="O17" s="5">
        <v>26</v>
      </c>
      <c r="P17" s="5">
        <v>0</v>
      </c>
      <c r="Q17" s="52">
        <f t="shared" si="24"/>
        <v>1</v>
      </c>
      <c r="R17" s="5">
        <v>26</v>
      </c>
      <c r="S17" s="5">
        <v>0</v>
      </c>
      <c r="T17" s="52">
        <f t="shared" si="26"/>
        <v>1</v>
      </c>
      <c r="U17" s="5">
        <v>5</v>
      </c>
      <c r="V17" s="5">
        <v>21</v>
      </c>
      <c r="W17" s="37">
        <f t="shared" si="28"/>
        <v>0.19230769230769232</v>
      </c>
      <c r="X17" s="26"/>
      <c r="Y17" s="5"/>
      <c r="Z17" s="27">
        <f t="shared" si="55"/>
        <v>0</v>
      </c>
      <c r="AA17" s="22">
        <v>11</v>
      </c>
      <c r="AB17" s="5">
        <v>15</v>
      </c>
      <c r="AC17" s="52">
        <f t="shared" si="32"/>
        <v>0.42307692307692307</v>
      </c>
      <c r="AD17" s="5">
        <v>12</v>
      </c>
      <c r="AE17" s="5">
        <v>14</v>
      </c>
      <c r="AF17" s="52">
        <f t="shared" si="34"/>
        <v>0.46153846153846156</v>
      </c>
      <c r="AG17" s="5">
        <v>24</v>
      </c>
      <c r="AH17" s="5">
        <v>2</v>
      </c>
      <c r="AI17" s="52">
        <f t="shared" si="36"/>
        <v>0.92307692307692313</v>
      </c>
      <c r="AJ17" s="5">
        <v>26</v>
      </c>
      <c r="AK17" s="5">
        <v>0</v>
      </c>
      <c r="AL17" s="52">
        <f t="shared" si="38"/>
        <v>1</v>
      </c>
      <c r="AM17" s="5">
        <v>26</v>
      </c>
      <c r="AN17" s="5">
        <v>0</v>
      </c>
      <c r="AO17" s="52">
        <f t="shared" si="40"/>
        <v>1</v>
      </c>
      <c r="AP17" s="5">
        <v>26</v>
      </c>
      <c r="AQ17" s="5">
        <v>0</v>
      </c>
      <c r="AR17" s="52">
        <f t="shared" si="42"/>
        <v>1</v>
      </c>
      <c r="AS17" s="5">
        <v>26</v>
      </c>
      <c r="AT17" s="5">
        <v>0</v>
      </c>
      <c r="AU17" s="52">
        <f t="shared" si="44"/>
        <v>1</v>
      </c>
      <c r="AV17" s="5">
        <v>26</v>
      </c>
      <c r="AW17" s="5">
        <v>0</v>
      </c>
      <c r="AX17" s="52">
        <f t="shared" si="46"/>
        <v>1</v>
      </c>
      <c r="AY17" s="5">
        <v>26</v>
      </c>
      <c r="AZ17" s="5">
        <v>0</v>
      </c>
      <c r="BA17" s="52">
        <f t="shared" si="48"/>
        <v>1</v>
      </c>
    </row>
    <row r="18" spans="2:53" ht="29.25" customHeight="1">
      <c r="B18" s="93"/>
      <c r="C18" s="93"/>
      <c r="D18" s="33" t="s">
        <v>37</v>
      </c>
      <c r="E18" s="46">
        <v>30</v>
      </c>
      <c r="F18" s="5">
        <v>30</v>
      </c>
      <c r="G18" s="5">
        <v>0</v>
      </c>
      <c r="H18" s="52">
        <f t="shared" si="18"/>
        <v>1</v>
      </c>
      <c r="I18" s="5">
        <v>30</v>
      </c>
      <c r="J18" s="5">
        <v>0</v>
      </c>
      <c r="K18" s="52">
        <f t="shared" si="20"/>
        <v>1</v>
      </c>
      <c r="L18" s="5">
        <v>30</v>
      </c>
      <c r="M18" s="5">
        <v>0</v>
      </c>
      <c r="N18" s="52">
        <f t="shared" si="22"/>
        <v>1</v>
      </c>
      <c r="O18" s="5">
        <v>30</v>
      </c>
      <c r="P18" s="5">
        <v>0</v>
      </c>
      <c r="Q18" s="52">
        <f t="shared" si="24"/>
        <v>1</v>
      </c>
      <c r="R18" s="5">
        <v>30</v>
      </c>
      <c r="S18" s="5">
        <v>0</v>
      </c>
      <c r="T18" s="52">
        <f t="shared" si="26"/>
        <v>1</v>
      </c>
      <c r="U18" s="5">
        <v>1</v>
      </c>
      <c r="V18" s="5">
        <v>29</v>
      </c>
      <c r="W18" s="37">
        <f t="shared" si="28"/>
        <v>3.3333333333333333E-2</v>
      </c>
      <c r="X18" s="26"/>
      <c r="Y18" s="5"/>
      <c r="Z18" s="27">
        <f t="shared" si="55"/>
        <v>0</v>
      </c>
      <c r="AA18" s="22">
        <v>5</v>
      </c>
      <c r="AB18" s="5">
        <v>25</v>
      </c>
      <c r="AC18" s="52">
        <f t="shared" si="32"/>
        <v>0.16666666666666666</v>
      </c>
      <c r="AD18" s="5">
        <v>5</v>
      </c>
      <c r="AE18" s="5">
        <v>25</v>
      </c>
      <c r="AF18" s="52">
        <f t="shared" si="34"/>
        <v>0.16666666666666666</v>
      </c>
      <c r="AG18" s="5">
        <v>30</v>
      </c>
      <c r="AH18" s="5">
        <v>0</v>
      </c>
      <c r="AI18" s="52">
        <f t="shared" si="36"/>
        <v>1</v>
      </c>
      <c r="AJ18" s="5">
        <v>27</v>
      </c>
      <c r="AK18" s="5">
        <v>3</v>
      </c>
      <c r="AL18" s="52">
        <f t="shared" si="38"/>
        <v>0.9</v>
      </c>
      <c r="AM18" s="5">
        <v>30</v>
      </c>
      <c r="AN18" s="5">
        <v>0</v>
      </c>
      <c r="AO18" s="52">
        <f t="shared" si="40"/>
        <v>1</v>
      </c>
      <c r="AP18" s="5">
        <v>30</v>
      </c>
      <c r="AQ18" s="5"/>
      <c r="AR18" s="52">
        <f t="shared" si="42"/>
        <v>1</v>
      </c>
      <c r="AS18" s="5">
        <v>30</v>
      </c>
      <c r="AT18" s="5">
        <v>0</v>
      </c>
      <c r="AU18" s="52">
        <f t="shared" si="44"/>
        <v>1</v>
      </c>
      <c r="AV18" s="5">
        <v>30</v>
      </c>
      <c r="AW18" s="5">
        <v>0</v>
      </c>
      <c r="AX18" s="52">
        <f t="shared" si="46"/>
        <v>1</v>
      </c>
      <c r="AY18" s="5">
        <v>30</v>
      </c>
      <c r="AZ18" s="5">
        <v>0</v>
      </c>
      <c r="BA18" s="52">
        <f t="shared" si="48"/>
        <v>1</v>
      </c>
    </row>
    <row r="19" spans="2:53" ht="29.25" customHeight="1">
      <c r="B19" s="93">
        <v>6</v>
      </c>
      <c r="C19" s="94" t="s">
        <v>5</v>
      </c>
      <c r="D19" s="36" t="s">
        <v>35</v>
      </c>
      <c r="E19" s="46">
        <f t="shared" si="54"/>
        <v>0</v>
      </c>
      <c r="F19" s="5"/>
      <c r="G19" s="5"/>
      <c r="H19" s="52" t="str">
        <f t="shared" si="18"/>
        <v/>
      </c>
      <c r="I19" s="5"/>
      <c r="J19" s="5"/>
      <c r="K19" s="52" t="str">
        <f t="shared" si="20"/>
        <v/>
      </c>
      <c r="L19" s="5"/>
      <c r="M19" s="5"/>
      <c r="N19" s="52" t="str">
        <f t="shared" si="22"/>
        <v/>
      </c>
      <c r="O19" s="5"/>
      <c r="P19" s="5"/>
      <c r="Q19" s="52" t="str">
        <f t="shared" si="24"/>
        <v/>
      </c>
      <c r="R19" s="5"/>
      <c r="S19" s="5"/>
      <c r="T19" s="52" t="str">
        <f t="shared" si="26"/>
        <v/>
      </c>
      <c r="U19" s="5"/>
      <c r="V19" s="5"/>
      <c r="W19" s="37" t="str">
        <f t="shared" si="28"/>
        <v/>
      </c>
      <c r="X19" s="26"/>
      <c r="Y19" s="5"/>
      <c r="Z19" s="27" t="str">
        <f t="shared" si="55"/>
        <v/>
      </c>
      <c r="AA19" s="22"/>
      <c r="AB19" s="5"/>
      <c r="AC19" s="52" t="str">
        <f t="shared" si="32"/>
        <v/>
      </c>
      <c r="AD19" s="5"/>
      <c r="AE19" s="5"/>
      <c r="AF19" s="52" t="str">
        <f t="shared" si="34"/>
        <v/>
      </c>
      <c r="AG19" s="5"/>
      <c r="AH19" s="5"/>
      <c r="AI19" s="52" t="str">
        <f t="shared" si="36"/>
        <v/>
      </c>
      <c r="AJ19" s="5"/>
      <c r="AK19" s="5"/>
      <c r="AL19" s="52" t="str">
        <f t="shared" si="38"/>
        <v/>
      </c>
      <c r="AM19" s="5"/>
      <c r="AN19" s="5"/>
      <c r="AO19" s="52" t="str">
        <f t="shared" si="40"/>
        <v/>
      </c>
      <c r="AP19" s="5"/>
      <c r="AQ19" s="5"/>
      <c r="AR19" s="52" t="str">
        <f t="shared" si="42"/>
        <v/>
      </c>
      <c r="AS19" s="5"/>
      <c r="AT19" s="5"/>
      <c r="AU19" s="52" t="str">
        <f t="shared" si="44"/>
        <v/>
      </c>
      <c r="AV19" s="5"/>
      <c r="AW19" s="5"/>
      <c r="AX19" s="52" t="str">
        <f t="shared" si="46"/>
        <v/>
      </c>
      <c r="AY19" s="5"/>
      <c r="AZ19" s="5"/>
      <c r="BA19" s="52" t="str">
        <f t="shared" si="48"/>
        <v/>
      </c>
    </row>
    <row r="20" spans="2:53" ht="29.25" customHeight="1" thickBot="1">
      <c r="B20" s="103"/>
      <c r="C20" s="103"/>
      <c r="D20" s="63" t="s">
        <v>37</v>
      </c>
      <c r="E20" s="64">
        <f t="shared" si="54"/>
        <v>0</v>
      </c>
      <c r="F20" s="56"/>
      <c r="G20" s="56"/>
      <c r="H20" s="57" t="str">
        <f t="shared" si="18"/>
        <v/>
      </c>
      <c r="I20" s="56"/>
      <c r="J20" s="56"/>
      <c r="K20" s="57" t="str">
        <f t="shared" si="20"/>
        <v/>
      </c>
      <c r="L20" s="56"/>
      <c r="M20" s="56"/>
      <c r="N20" s="57" t="str">
        <f t="shared" si="22"/>
        <v/>
      </c>
      <c r="O20" s="56"/>
      <c r="P20" s="56"/>
      <c r="Q20" s="57" t="str">
        <f t="shared" si="24"/>
        <v/>
      </c>
      <c r="R20" s="56"/>
      <c r="S20" s="56"/>
      <c r="T20" s="57" t="str">
        <f t="shared" si="26"/>
        <v/>
      </c>
      <c r="U20" s="56"/>
      <c r="V20" s="56"/>
      <c r="W20" s="77" t="str">
        <f t="shared" si="28"/>
        <v/>
      </c>
      <c r="X20" s="30"/>
      <c r="Y20" s="31"/>
      <c r="Z20" s="32" t="str">
        <f t="shared" si="55"/>
        <v/>
      </c>
      <c r="AA20" s="81"/>
      <c r="AB20" s="56"/>
      <c r="AC20" s="57" t="str">
        <f t="shared" si="32"/>
        <v/>
      </c>
      <c r="AD20" s="56"/>
      <c r="AE20" s="56"/>
      <c r="AF20" s="57" t="str">
        <f t="shared" si="34"/>
        <v/>
      </c>
      <c r="AG20" s="56"/>
      <c r="AH20" s="56"/>
      <c r="AI20" s="57" t="str">
        <f t="shared" si="36"/>
        <v/>
      </c>
      <c r="AJ20" s="56"/>
      <c r="AK20" s="56"/>
      <c r="AL20" s="57" t="str">
        <f t="shared" si="38"/>
        <v/>
      </c>
      <c r="AM20" s="56"/>
      <c r="AN20" s="56"/>
      <c r="AO20" s="57" t="str">
        <f t="shared" si="40"/>
        <v/>
      </c>
      <c r="AP20" s="56"/>
      <c r="AQ20" s="56"/>
      <c r="AR20" s="57" t="str">
        <f t="shared" si="42"/>
        <v/>
      </c>
      <c r="AS20" s="56"/>
      <c r="AT20" s="56"/>
      <c r="AU20" s="57" t="str">
        <f t="shared" si="44"/>
        <v/>
      </c>
      <c r="AV20" s="56"/>
      <c r="AW20" s="56"/>
      <c r="AX20" s="57" t="str">
        <f t="shared" si="46"/>
        <v/>
      </c>
      <c r="AY20" s="56"/>
      <c r="AZ20" s="56"/>
      <c r="BA20" s="57" t="str">
        <f t="shared" si="48"/>
        <v/>
      </c>
    </row>
    <row r="21" spans="2:53" ht="29.25" customHeight="1" thickTop="1"/>
    <row r="22" spans="2:53" ht="23.25" hidden="1" customHeight="1" thickTop="1" thickBot="1">
      <c r="B22" s="97" t="s">
        <v>34</v>
      </c>
      <c r="C22" s="98"/>
      <c r="D22" s="98"/>
      <c r="E22" s="98"/>
      <c r="F22" s="19" t="s">
        <v>10</v>
      </c>
      <c r="G22" s="19" t="s">
        <v>11</v>
      </c>
      <c r="H22" s="19" t="s">
        <v>12</v>
      </c>
      <c r="I22" s="19" t="s">
        <v>13</v>
      </c>
      <c r="J22" s="19" t="s">
        <v>14</v>
      </c>
      <c r="K22" s="20" t="s">
        <v>15</v>
      </c>
      <c r="L22" s="20" t="s">
        <v>16</v>
      </c>
      <c r="M22" s="20" t="s">
        <v>17</v>
      </c>
      <c r="N22" s="20" t="s">
        <v>18</v>
      </c>
      <c r="O22" s="20" t="s">
        <v>19</v>
      </c>
      <c r="P22" s="20" t="s">
        <v>20</v>
      </c>
      <c r="Q22" s="20" t="s">
        <v>21</v>
      </c>
      <c r="R22" s="19" t="s">
        <v>22</v>
      </c>
      <c r="S22" s="19" t="s">
        <v>23</v>
      </c>
      <c r="T22" s="19" t="s">
        <v>24</v>
      </c>
      <c r="U22" s="19" t="s">
        <v>25</v>
      </c>
      <c r="V22" s="19" t="s">
        <v>26</v>
      </c>
      <c r="W22" s="19" t="s">
        <v>9</v>
      </c>
    </row>
    <row r="23" spans="2:53" ht="23.25" hidden="1" customHeight="1" thickTop="1">
      <c r="B23" s="89" t="s">
        <v>28</v>
      </c>
      <c r="C23" s="90"/>
      <c r="D23" s="90"/>
      <c r="E23" s="90"/>
      <c r="F23" s="2" t="s">
        <v>30</v>
      </c>
      <c r="G23" s="2" t="s">
        <v>29</v>
      </c>
      <c r="H23" s="2" t="s">
        <v>29</v>
      </c>
      <c r="I23" s="2" t="s">
        <v>29</v>
      </c>
      <c r="J23" s="2" t="s">
        <v>29</v>
      </c>
      <c r="K23" s="8" t="s">
        <v>27</v>
      </c>
      <c r="L23" s="8" t="s">
        <v>27</v>
      </c>
      <c r="M23" s="8" t="s">
        <v>27</v>
      </c>
      <c r="N23" s="8" t="s">
        <v>27</v>
      </c>
      <c r="O23" s="8" t="s">
        <v>27</v>
      </c>
      <c r="P23" s="8" t="s">
        <v>27</v>
      </c>
      <c r="Q23" s="11" t="s">
        <v>29</v>
      </c>
      <c r="R23" s="11" t="s">
        <v>29</v>
      </c>
      <c r="S23" s="8" t="s">
        <v>31</v>
      </c>
      <c r="T23" s="2" t="s">
        <v>29</v>
      </c>
      <c r="U23" s="2" t="s">
        <v>29</v>
      </c>
      <c r="V23" s="2" t="s">
        <v>29</v>
      </c>
      <c r="W23" s="2" t="s">
        <v>29</v>
      </c>
    </row>
    <row r="24" spans="2:53" ht="23.25" hidden="1" customHeight="1">
      <c r="B24" s="91" t="s">
        <v>32</v>
      </c>
      <c r="C24" s="92"/>
      <c r="D24" s="92"/>
      <c r="E24" s="92"/>
      <c r="F24" s="3" t="s">
        <v>29</v>
      </c>
      <c r="G24" s="3" t="s">
        <v>29</v>
      </c>
      <c r="H24" s="3" t="s">
        <v>29</v>
      </c>
      <c r="I24" s="3" t="s">
        <v>29</v>
      </c>
      <c r="J24" s="3" t="s">
        <v>29</v>
      </c>
      <c r="K24" s="9" t="s">
        <v>27</v>
      </c>
      <c r="L24" s="9" t="s">
        <v>27</v>
      </c>
      <c r="M24" s="9" t="s">
        <v>27</v>
      </c>
      <c r="N24" s="9" t="s">
        <v>27</v>
      </c>
      <c r="O24" s="9" t="s">
        <v>27</v>
      </c>
      <c r="P24" s="9" t="s">
        <v>27</v>
      </c>
      <c r="Q24" s="9" t="s">
        <v>27</v>
      </c>
      <c r="R24" s="12" t="s">
        <v>29</v>
      </c>
      <c r="S24" s="12" t="s">
        <v>29</v>
      </c>
      <c r="T24" s="3" t="s">
        <v>29</v>
      </c>
      <c r="U24" s="3" t="s">
        <v>29</v>
      </c>
      <c r="V24" s="3" t="s">
        <v>29</v>
      </c>
      <c r="W24" s="3" t="s">
        <v>29</v>
      </c>
    </row>
    <row r="25" spans="2:53" ht="23.25" hidden="1" customHeight="1" thickBot="1">
      <c r="B25" s="95" t="s">
        <v>33</v>
      </c>
      <c r="C25" s="96"/>
      <c r="D25" s="96"/>
      <c r="E25" s="96"/>
      <c r="F25" s="4" t="s">
        <v>29</v>
      </c>
      <c r="G25" s="4" t="s">
        <v>29</v>
      </c>
      <c r="H25" s="4" t="s">
        <v>29</v>
      </c>
      <c r="I25" s="4" t="s">
        <v>29</v>
      </c>
      <c r="J25" s="4" t="s">
        <v>29</v>
      </c>
      <c r="K25" s="10" t="s">
        <v>27</v>
      </c>
      <c r="L25" s="10" t="s">
        <v>27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3" t="s">
        <v>29</v>
      </c>
      <c r="S25" s="13" t="s">
        <v>29</v>
      </c>
      <c r="T25" s="4" t="s">
        <v>29</v>
      </c>
      <c r="U25" s="4" t="s">
        <v>29</v>
      </c>
      <c r="V25" s="4" t="s">
        <v>29</v>
      </c>
      <c r="W25" s="4" t="s">
        <v>29</v>
      </c>
    </row>
    <row r="26" spans="2:53" ht="17.25" customHeight="1"/>
    <row r="27" spans="2:53">
      <c r="Q27" s="18"/>
      <c r="R27" s="18"/>
    </row>
  </sheetData>
  <mergeCells count="20">
    <mergeCell ref="B8:B9"/>
    <mergeCell ref="C8:C9"/>
    <mergeCell ref="E3:E4"/>
    <mergeCell ref="B19:B20"/>
    <mergeCell ref="C19:C20"/>
    <mergeCell ref="B12:B13"/>
    <mergeCell ref="C12:C13"/>
    <mergeCell ref="B14:B15"/>
    <mergeCell ref="C14:C15"/>
    <mergeCell ref="B16:B18"/>
    <mergeCell ref="C16:C18"/>
    <mergeCell ref="B6:C7"/>
    <mergeCell ref="B5:D5"/>
    <mergeCell ref="B3:D4"/>
    <mergeCell ref="B23:E23"/>
    <mergeCell ref="B24:E24"/>
    <mergeCell ref="B10:B11"/>
    <mergeCell ref="C10:C11"/>
    <mergeCell ref="B25:E25"/>
    <mergeCell ref="B22:E22"/>
  </mergeCells>
  <phoneticPr fontId="2" type="noConversion"/>
  <pageMargins left="0.25" right="0.25" top="0.75" bottom="0.75" header="0.3" footer="0.3"/>
  <pageSetup paperSize="9" scale="3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종합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 YSV</cp:lastModifiedBy>
  <cp:lastPrinted>2023-01-19T03:44:20Z</cp:lastPrinted>
  <dcterms:created xsi:type="dcterms:W3CDTF">2019-01-28T01:15:47Z</dcterms:created>
  <dcterms:modified xsi:type="dcterms:W3CDTF">2026-02-03T06:54:42Z</dcterms:modified>
</cp:coreProperties>
</file>