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stafftime-dashboard-main\New folder\"/>
    </mc:Choice>
  </mc:AlternateContent>
  <bookViews>
    <workbookView xWindow="-120" yWindow="-120" windowWidth="29040" windowHeight="15840" tabRatio="599" firstSheet="171" activeTab="171"/>
  </bookViews>
  <sheets>
    <sheet name="10.08" sheetId="1495" state="hidden" r:id="rId1"/>
    <sheet name="Kangatang" sheetId="1912" state="veryHidden" r:id="rId2"/>
    <sheet name="Kangatang_2" sheetId="1913" state="veryHidden" r:id="rId3"/>
    <sheet name="Kangatang_3" sheetId="1914" state="veryHidden" r:id="rId4"/>
    <sheet name="Kangatang_4" sheetId="1915" state="veryHidden" r:id="rId5"/>
    <sheet name="Kangatang_5" sheetId="1916" state="veryHidden" r:id="rId6"/>
    <sheet name="Kangatang_6" sheetId="1917" state="veryHidden" r:id="rId7"/>
    <sheet name="Kangatang_7" sheetId="1918" state="veryHidden" r:id="rId8"/>
    <sheet name="Kangatang_8" sheetId="1919" state="veryHidden" r:id="rId9"/>
    <sheet name="Kangatang_9" sheetId="1920" state="veryHidden" r:id="rId10"/>
    <sheet name="Kangatang_10" sheetId="1921" state="veryHidden" r:id="rId11"/>
    <sheet name="Kangatang_11" sheetId="1922" state="veryHidden" r:id="rId12"/>
    <sheet name="Kangatang_12" sheetId="1923" state="veryHidden" r:id="rId13"/>
    <sheet name="Kangatang_13" sheetId="1924" state="veryHidden" r:id="rId14"/>
    <sheet name="Kangatang_14" sheetId="1925" state="veryHidden" r:id="rId15"/>
    <sheet name="Kangatang_15" sheetId="1926" state="veryHidden" r:id="rId16"/>
    <sheet name="Kangatang_16" sheetId="1927" state="veryHidden" r:id="rId17"/>
    <sheet name="Kangatang_17" sheetId="1928" state="veryHidden" r:id="rId18"/>
    <sheet name="Kangatang_18" sheetId="1929" state="veryHidden" r:id="rId19"/>
    <sheet name="Kangatang_19" sheetId="1930" state="veryHidden" r:id="rId20"/>
    <sheet name="Kangatang_20" sheetId="1931" state="veryHidden" r:id="rId21"/>
    <sheet name="Kangatang_21" sheetId="1932" state="veryHidden" r:id="rId22"/>
    <sheet name="Kangatang_22" sheetId="1933" state="veryHidden" r:id="rId23"/>
    <sheet name="Kangatang_23" sheetId="1934" state="veryHidden" r:id="rId24"/>
    <sheet name="Kangatang_24" sheetId="1935" state="veryHidden" r:id="rId25"/>
    <sheet name="Kangatang_25" sheetId="1936" state="veryHidden" r:id="rId26"/>
    <sheet name="Kangatang_26" sheetId="1937" state="veryHidden" r:id="rId27"/>
    <sheet name="Kangatang_27" sheetId="1938" state="veryHidden" r:id="rId28"/>
    <sheet name="Kangatang_28" sheetId="1939" state="veryHidden" r:id="rId29"/>
    <sheet name="Kangatang_29" sheetId="1940" state="veryHidden" r:id="rId30"/>
    <sheet name="Kangatang_30" sheetId="1941" state="veryHidden" r:id="rId31"/>
    <sheet name="Kangatang_31" sheetId="1942" state="veryHidden" r:id="rId32"/>
    <sheet name="Kangatang_32" sheetId="1943" state="veryHidden" r:id="rId33"/>
    <sheet name="Kangatang_33" sheetId="1944" state="veryHidden" r:id="rId34"/>
    <sheet name="Kangatang_34" sheetId="1945" state="veryHidden" r:id="rId35"/>
    <sheet name="Kangatang_35" sheetId="1946" state="veryHidden" r:id="rId36"/>
    <sheet name="Kangatang_36" sheetId="1947" state="veryHidden" r:id="rId37"/>
    <sheet name="Kangatang_37" sheetId="1948" state="veryHidden" r:id="rId38"/>
    <sheet name="Kangatang_38" sheetId="1949" state="veryHidden" r:id="rId39"/>
    <sheet name="Kangatang_39" sheetId="1950" state="veryHidden" r:id="rId40"/>
    <sheet name="Kangatang_40" sheetId="1951" state="veryHidden" r:id="rId41"/>
    <sheet name="Kangatang_41" sheetId="1952" state="veryHidden" r:id="rId42"/>
    <sheet name="Kangatang_42" sheetId="1953" state="veryHidden" r:id="rId43"/>
    <sheet name="Kangatang_43" sheetId="1954" state="veryHidden" r:id="rId44"/>
    <sheet name="Kangatang_44" sheetId="1955" state="veryHidden" r:id="rId45"/>
    <sheet name="Kangatang_45" sheetId="1956" state="veryHidden" r:id="rId46"/>
    <sheet name="Kangatang_46" sheetId="1957" state="veryHidden" r:id="rId47"/>
    <sheet name="Kangatang_47" sheetId="1958" state="veryHidden" r:id="rId48"/>
    <sheet name="Kangatang_48" sheetId="1959" state="veryHidden" r:id="rId49"/>
    <sheet name="Kangatang_49" sheetId="1960" state="veryHidden" r:id="rId50"/>
    <sheet name="Kangatang_50" sheetId="1961" state="veryHidden" r:id="rId51"/>
    <sheet name="Kangatang_51" sheetId="1962" state="veryHidden" r:id="rId52"/>
    <sheet name="Kangatang_52" sheetId="1963" state="veryHidden" r:id="rId53"/>
    <sheet name="Kangatang_53" sheetId="1964" state="veryHidden" r:id="rId54"/>
    <sheet name="Kangatang_54" sheetId="1965" state="veryHidden" r:id="rId55"/>
    <sheet name="Kangatang_55" sheetId="1966" state="veryHidden" r:id="rId56"/>
    <sheet name="Kangatang_56" sheetId="1967" state="veryHidden" r:id="rId57"/>
    <sheet name="Kangatang_57" sheetId="1968" state="veryHidden" r:id="rId58"/>
    <sheet name="Kangatang_58" sheetId="1969" state="veryHidden" r:id="rId59"/>
    <sheet name="Kangatang_59" sheetId="1970" state="veryHidden" r:id="rId60"/>
    <sheet name="Kangatang_60" sheetId="1971" state="veryHidden" r:id="rId61"/>
    <sheet name="Kangatang_61" sheetId="1972" state="veryHidden" r:id="rId62"/>
    <sheet name="Kangatang_62" sheetId="1973" state="veryHidden" r:id="rId63"/>
    <sheet name="Kangatang_63" sheetId="1974" state="veryHidden" r:id="rId64"/>
    <sheet name="Kangatang_64" sheetId="1975" state="veryHidden" r:id="rId65"/>
    <sheet name="Kangatang_65" sheetId="1976" state="veryHidden" r:id="rId66"/>
    <sheet name="Kangatang_66" sheetId="1977" state="veryHidden" r:id="rId67"/>
    <sheet name="Kangatang_67" sheetId="1978" state="veryHidden" r:id="rId68"/>
    <sheet name="Kangatang_68" sheetId="1979" state="veryHidden" r:id="rId69"/>
    <sheet name="Kangatang_69" sheetId="1980" state="veryHidden" r:id="rId70"/>
    <sheet name="Kangatang_70" sheetId="1981" state="veryHidden" r:id="rId71"/>
    <sheet name="Kangatang_71" sheetId="1982" state="veryHidden" r:id="rId72"/>
    <sheet name="Kangatang_72" sheetId="1983" state="veryHidden" r:id="rId73"/>
    <sheet name="Kangatang_73" sheetId="1984" state="veryHidden" r:id="rId74"/>
    <sheet name="Kangatang_74" sheetId="1985" state="veryHidden" r:id="rId75"/>
    <sheet name="Kangatang_75" sheetId="1986" state="veryHidden" r:id="rId76"/>
    <sheet name="Kangatang_76" sheetId="1988" state="veryHidden" r:id="rId77"/>
    <sheet name="Kangatang_77" sheetId="1989" state="veryHidden" r:id="rId78"/>
    <sheet name="Kangatang_78" sheetId="1990" state="veryHidden" r:id="rId79"/>
    <sheet name="Kangatang_79" sheetId="1991" state="veryHidden" r:id="rId80"/>
    <sheet name="Kangatang_80" sheetId="1992" state="veryHidden" r:id="rId81"/>
    <sheet name="Kangatang_81" sheetId="1993" state="veryHidden" r:id="rId82"/>
    <sheet name="Kangatang_82" sheetId="1994" state="veryHidden" r:id="rId83"/>
    <sheet name="Kangatang_83" sheetId="1995" state="veryHidden" r:id="rId84"/>
    <sheet name="Kangatang_84" sheetId="1996" state="veryHidden" r:id="rId85"/>
    <sheet name="Kangatang_85" sheetId="1997" state="veryHidden" r:id="rId86"/>
    <sheet name="Kangatang_86" sheetId="1998" state="veryHidden" r:id="rId87"/>
    <sheet name="Kangatang_87" sheetId="1999" state="veryHidden" r:id="rId88"/>
    <sheet name="Kangatang_88" sheetId="2000" state="veryHidden" r:id="rId89"/>
    <sheet name="Kangatang_89" sheetId="2001" state="veryHidden" r:id="rId90"/>
    <sheet name="Kangatang_90" sheetId="2002" state="veryHidden" r:id="rId91"/>
    <sheet name="Kangatang_91" sheetId="2003" state="veryHidden" r:id="rId92"/>
    <sheet name="Kangatang_92" sheetId="2004" state="veryHidden" r:id="rId93"/>
    <sheet name="Kangatang_93" sheetId="2005" state="veryHidden" r:id="rId94"/>
    <sheet name="Kangatang_94" sheetId="2006" state="veryHidden" r:id="rId95"/>
    <sheet name="Kangatang_95" sheetId="2007" state="veryHidden" r:id="rId96"/>
    <sheet name="Kangatang_96" sheetId="2008" state="veryHidden" r:id="rId97"/>
    <sheet name="Kangatang_97" sheetId="2009" state="veryHidden" r:id="rId98"/>
    <sheet name="Kangatang_98" sheetId="2010" state="veryHidden" r:id="rId99"/>
    <sheet name="Kangatang_99" sheetId="2011" state="veryHidden" r:id="rId100"/>
    <sheet name="Kangatang_100" sheetId="2012" state="veryHidden" r:id="rId101"/>
    <sheet name="Kangatang_101" sheetId="2013" state="veryHidden" r:id="rId102"/>
    <sheet name="Kangatang_102" sheetId="2014" state="veryHidden" r:id="rId103"/>
    <sheet name="Kangatang_103" sheetId="2015" state="veryHidden" r:id="rId104"/>
    <sheet name="Kangatang_104" sheetId="2016" state="veryHidden" r:id="rId105"/>
    <sheet name="Kangatang_105" sheetId="2017" state="veryHidden" r:id="rId106"/>
    <sheet name="Kangatang_106" sheetId="2018" state="veryHidden" r:id="rId107"/>
    <sheet name="Kangatang_107" sheetId="2019" state="veryHidden" r:id="rId108"/>
    <sheet name="Kangatang_108" sheetId="2020" state="veryHidden" r:id="rId109"/>
    <sheet name="Kangatang_109" sheetId="2021" state="veryHidden" r:id="rId110"/>
    <sheet name="Kangatang_110" sheetId="2022" state="veryHidden" r:id="rId111"/>
    <sheet name="Kangatang_111" sheetId="2023" state="veryHidden" r:id="rId112"/>
    <sheet name="Kangatang_112" sheetId="2024" state="veryHidden" r:id="rId113"/>
    <sheet name="Kangatang_113" sheetId="2025" state="veryHidden" r:id="rId114"/>
    <sheet name="Kangatang_114" sheetId="2026" state="veryHidden" r:id="rId115"/>
    <sheet name="Kangatang_115" sheetId="2027" state="veryHidden" r:id="rId116"/>
    <sheet name="Kangatang_116" sheetId="2028" state="veryHidden" r:id="rId117"/>
    <sheet name="Kangatang_117" sheetId="2029" state="veryHidden" r:id="rId118"/>
    <sheet name="Kangatang_118" sheetId="2030" state="veryHidden" r:id="rId119"/>
    <sheet name="Kangatang_119" sheetId="2031" state="veryHidden" r:id="rId120"/>
    <sheet name="Kangatang_120" sheetId="2032" state="veryHidden" r:id="rId121"/>
    <sheet name="Kangatang_121" sheetId="2033" state="veryHidden" r:id="rId122"/>
    <sheet name="Kangatang_122" sheetId="2034" state="veryHidden" r:id="rId123"/>
    <sheet name="Kangatang_123" sheetId="2035" state="veryHidden" r:id="rId124"/>
    <sheet name="Kangatang_124" sheetId="2036" state="veryHidden" r:id="rId125"/>
    <sheet name="Kangatang_125" sheetId="2037" state="veryHidden" r:id="rId126"/>
    <sheet name="Kangatang_126" sheetId="2038" state="veryHidden" r:id="rId127"/>
    <sheet name="Kangatang_127" sheetId="2039" state="veryHidden" r:id="rId128"/>
    <sheet name="Kangatang_128" sheetId="2040" state="veryHidden" r:id="rId129"/>
    <sheet name="Kangatang_129" sheetId="2041" state="veryHidden" r:id="rId130"/>
    <sheet name="Kangatang_130" sheetId="2042" state="veryHidden" r:id="rId131"/>
    <sheet name="Kangatang_131" sheetId="2043" state="veryHidden" r:id="rId132"/>
    <sheet name="Kangatang_132" sheetId="2044" state="veryHidden" r:id="rId133"/>
    <sheet name="Kangatang_133" sheetId="2045" state="veryHidden" r:id="rId134"/>
    <sheet name="Kangatang_134" sheetId="2046" state="veryHidden" r:id="rId135"/>
    <sheet name="Kangatang_135" sheetId="2047" state="veryHidden" r:id="rId136"/>
    <sheet name="Kangatang_136" sheetId="2048" state="veryHidden" r:id="rId137"/>
    <sheet name="Kangatang_137" sheetId="2049" state="veryHidden" r:id="rId138"/>
    <sheet name="Kangatang_138" sheetId="2050" state="veryHidden" r:id="rId139"/>
    <sheet name="Kangatang_139" sheetId="2051" state="veryHidden" r:id="rId140"/>
    <sheet name="Kangatang_140" sheetId="2052" state="veryHidden" r:id="rId141"/>
    <sheet name="Kangatang_141" sheetId="2053" state="veryHidden" r:id="rId142"/>
    <sheet name="Kangatang_142" sheetId="2054" state="veryHidden" r:id="rId143"/>
    <sheet name="Kangatang_143" sheetId="2055" state="veryHidden" r:id="rId144"/>
    <sheet name="Kangatang_144" sheetId="2056" state="veryHidden" r:id="rId145"/>
    <sheet name="Kangatang_145" sheetId="2057" state="veryHidden" r:id="rId146"/>
    <sheet name="Kangatang_146" sheetId="2058" state="veryHidden" r:id="rId147"/>
    <sheet name="Kangatang_147" sheetId="2059" state="veryHidden" r:id="rId148"/>
    <sheet name="Kangatang_148" sheetId="2060" state="veryHidden" r:id="rId149"/>
    <sheet name="Kangatang_149" sheetId="2061" state="veryHidden" r:id="rId150"/>
    <sheet name="Kangatang_150" sheetId="2062" state="veryHidden" r:id="rId151"/>
    <sheet name="Kangatang_151" sheetId="2063" state="veryHidden" r:id="rId152"/>
    <sheet name="Kangatang_152" sheetId="2064" state="veryHidden" r:id="rId153"/>
    <sheet name="Kangatang_153" sheetId="2065" state="veryHidden" r:id="rId154"/>
    <sheet name="Kangatang_154" sheetId="2066" state="veryHidden" r:id="rId155"/>
    <sheet name="Kangatang_155" sheetId="2067" state="veryHidden" r:id="rId156"/>
    <sheet name="Kangatang_156" sheetId="2068" state="veryHidden" r:id="rId157"/>
    <sheet name="Kangatang_157" sheetId="2069" state="veryHidden" r:id="rId158"/>
    <sheet name="Kangatang_158" sheetId="2070" state="veryHidden" r:id="rId159"/>
    <sheet name="Kangatang_159" sheetId="2071" state="veryHidden" r:id="rId160"/>
    <sheet name="Kangatang_160" sheetId="2072" state="veryHidden" r:id="rId161"/>
    <sheet name="Kangatang_161" sheetId="2073" state="veryHidden" r:id="rId162"/>
    <sheet name="Kangatang_162" sheetId="2074" state="veryHidden" r:id="rId163"/>
    <sheet name="Kangatang_163" sheetId="2075" state="veryHidden" r:id="rId164"/>
    <sheet name="Kangatang_164" sheetId="2076" state="veryHidden" r:id="rId165"/>
    <sheet name="Kangatang_165" sheetId="2077" state="veryHidden" r:id="rId166"/>
    <sheet name="Kangatang_166" sheetId="2078" state="veryHidden" r:id="rId167"/>
    <sheet name="Kangatang_167" sheetId="2079" state="veryHidden" r:id="rId168"/>
    <sheet name="Kangatang_168" sheetId="2080" state="veryHidden" r:id="rId169"/>
    <sheet name="Kangatang_169" sheetId="2081" state="veryHidden" r:id="rId170"/>
    <sheet name="Kangatang_170" sheetId="2082" state="veryHidden" r:id="rId171"/>
    <sheet name="근태종합(02월)" sheetId="2" r:id="rId172"/>
    <sheet name="01.02" sheetId="2144" r:id="rId173"/>
  </sheets>
  <externalReferences>
    <externalReference r:id="rId174"/>
    <externalReference r:id="rId175"/>
  </externalReferences>
  <definedNames>
    <definedName name="_xlnm.Print_Area" localSheetId="172">'01.02'!$A$1:$AD$31</definedName>
    <definedName name="_xlnm.Print_Area" localSheetId="0">'10.08'!$A$1:$AB$31</definedName>
    <definedName name="_xlnm.Print_Area" localSheetId="171">'근태종합(02월)'!$A$1:$AM$58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5" i="2"/>
  <c r="I14" i="2"/>
  <c r="I34" i="2"/>
  <c r="AB29" i="2144" l="1"/>
  <c r="AC29" i="2144" s="1"/>
  <c r="AA29" i="2144"/>
  <c r="Z29" i="2144"/>
  <c r="Y29" i="2144"/>
  <c r="AB28" i="2144"/>
  <c r="AA28" i="2144"/>
  <c r="Z28" i="2144"/>
  <c r="Y28" i="2144"/>
  <c r="AB27" i="2144"/>
  <c r="AA27" i="2144"/>
  <c r="Z27" i="2144"/>
  <c r="Y27" i="2144"/>
  <c r="AB26" i="2144"/>
  <c r="AA26" i="2144"/>
  <c r="Z26" i="2144"/>
  <c r="Y26" i="2144"/>
  <c r="X25" i="2144"/>
  <c r="X30" i="2144" s="1"/>
  <c r="W25" i="2144"/>
  <c r="W30" i="2144" s="1"/>
  <c r="V25" i="2144"/>
  <c r="V30" i="2144" s="1"/>
  <c r="U25" i="2144"/>
  <c r="U30" i="2144" s="1"/>
  <c r="T25" i="2144"/>
  <c r="T30" i="2144" s="1"/>
  <c r="S25" i="2144"/>
  <c r="S30" i="2144" s="1"/>
  <c r="R25" i="2144"/>
  <c r="R30" i="2144" s="1"/>
  <c r="Q25" i="2144"/>
  <c r="Q30" i="2144" s="1"/>
  <c r="P25" i="2144"/>
  <c r="P30" i="2144" s="1"/>
  <c r="O25" i="2144"/>
  <c r="O30" i="2144" s="1"/>
  <c r="N25" i="2144"/>
  <c r="AA25" i="2144" s="1"/>
  <c r="AA30" i="2144" s="1"/>
  <c r="M25" i="2144"/>
  <c r="M30" i="2144" s="1"/>
  <c r="L25" i="2144"/>
  <c r="L30" i="2144" s="1"/>
  <c r="K25" i="2144"/>
  <c r="K30" i="2144" s="1"/>
  <c r="J25" i="2144"/>
  <c r="J30" i="2144" s="1"/>
  <c r="I25" i="2144"/>
  <c r="I30" i="2144" s="1"/>
  <c r="H25" i="2144"/>
  <c r="H30" i="2144" s="1"/>
  <c r="G25" i="2144"/>
  <c r="G30" i="2144" s="1"/>
  <c r="F25" i="2144"/>
  <c r="F30" i="2144" s="1"/>
  <c r="E25" i="2144"/>
  <c r="E30" i="2144" s="1"/>
  <c r="AB24" i="2144"/>
  <c r="AA24" i="2144"/>
  <c r="Z24" i="2144"/>
  <c r="Y24" i="2144"/>
  <c r="AB22" i="2144"/>
  <c r="AA22" i="2144"/>
  <c r="Z22" i="2144"/>
  <c r="Y22" i="2144"/>
  <c r="AB21" i="2144"/>
  <c r="AA21" i="2144"/>
  <c r="Z21" i="2144"/>
  <c r="Y21" i="2144"/>
  <c r="AB20" i="2144"/>
  <c r="AA20" i="2144"/>
  <c r="Z20" i="2144"/>
  <c r="Y20" i="2144"/>
  <c r="AB19" i="2144"/>
  <c r="AA19" i="2144"/>
  <c r="Z19" i="2144"/>
  <c r="Y19" i="2144"/>
  <c r="X18" i="2144"/>
  <c r="W18" i="2144"/>
  <c r="W12" i="2144" s="1"/>
  <c r="V18" i="2144"/>
  <c r="V23" i="2144" s="1"/>
  <c r="U18" i="2144"/>
  <c r="U23" i="2144" s="1"/>
  <c r="T18" i="2144"/>
  <c r="T23" i="2144" s="1"/>
  <c r="S18" i="2144"/>
  <c r="S23" i="2144" s="1"/>
  <c r="R18" i="2144"/>
  <c r="R23" i="2144" s="1"/>
  <c r="Q18" i="2144"/>
  <c r="Q23" i="2144" s="1"/>
  <c r="P18" i="2144"/>
  <c r="P23" i="2144" s="1"/>
  <c r="O18" i="2144"/>
  <c r="N18" i="2144"/>
  <c r="N23" i="2144" s="1"/>
  <c r="M18" i="2144"/>
  <c r="M23" i="2144" s="1"/>
  <c r="L18" i="2144"/>
  <c r="K18" i="2144"/>
  <c r="K12" i="2144" s="1"/>
  <c r="J18" i="2144"/>
  <c r="J23" i="2144" s="1"/>
  <c r="I18" i="2144"/>
  <c r="I23" i="2144" s="1"/>
  <c r="H18" i="2144"/>
  <c r="H23" i="2144" s="1"/>
  <c r="G18" i="2144"/>
  <c r="G23" i="2144" s="1"/>
  <c r="F18" i="2144"/>
  <c r="E18" i="2144"/>
  <c r="AB17" i="2144"/>
  <c r="AA17" i="2144"/>
  <c r="Z17" i="2144"/>
  <c r="Y17" i="2144"/>
  <c r="G12" i="2144"/>
  <c r="G14" i="2144" s="1"/>
  <c r="AA11" i="2144"/>
  <c r="X11" i="2144"/>
  <c r="W11" i="2144"/>
  <c r="V11" i="2144"/>
  <c r="U11" i="2144"/>
  <c r="T11" i="2144"/>
  <c r="S11" i="2144"/>
  <c r="R11" i="2144"/>
  <c r="Q11" i="2144"/>
  <c r="P11" i="2144"/>
  <c r="O11" i="2144"/>
  <c r="N11" i="2144"/>
  <c r="M11" i="2144"/>
  <c r="L11" i="2144"/>
  <c r="K11" i="2144"/>
  <c r="J11" i="2144"/>
  <c r="I11" i="2144"/>
  <c r="Z11" i="2144" s="1"/>
  <c r="H11" i="2144"/>
  <c r="G11" i="2144"/>
  <c r="F11" i="2144"/>
  <c r="E11" i="2144"/>
  <c r="Y11" i="2144" s="1"/>
  <c r="AC28" i="2144" l="1"/>
  <c r="F12" i="2144"/>
  <c r="F14" i="2144" s="1"/>
  <c r="AC21" i="2144"/>
  <c r="S12" i="2144"/>
  <c r="AC20" i="2144"/>
  <c r="Y18" i="2144"/>
  <c r="Y23" i="2144" s="1"/>
  <c r="AC24" i="2144"/>
  <c r="AC17" i="2144"/>
  <c r="N30" i="2144"/>
  <c r="X12" i="2144"/>
  <c r="M12" i="2144"/>
  <c r="J12" i="2144"/>
  <c r="J14" i="2144" s="1"/>
  <c r="V12" i="2144"/>
  <c r="AC26" i="2144"/>
  <c r="AC27" i="2144"/>
  <c r="E12" i="2144"/>
  <c r="I53" i="2" s="1"/>
  <c r="O12" i="2144"/>
  <c r="I55" i="2" s="1"/>
  <c r="AC22" i="2144"/>
  <c r="N12" i="2144"/>
  <c r="N13" i="2144" s="1"/>
  <c r="AA13" i="2144" s="1"/>
  <c r="G13" i="2144"/>
  <c r="P12" i="2144"/>
  <c r="E23" i="2144"/>
  <c r="F23" i="2144"/>
  <c r="Q12" i="2144"/>
  <c r="Q14" i="2144" s="1"/>
  <c r="R12" i="2144"/>
  <c r="Z18" i="2144"/>
  <c r="Z23" i="2144" s="1"/>
  <c r="AA18" i="2144"/>
  <c r="AA23" i="2144" s="1"/>
  <c r="AC19" i="2144"/>
  <c r="AB11" i="2144"/>
  <c r="K14" i="2144"/>
  <c r="K13" i="2144"/>
  <c r="K15" i="2144"/>
  <c r="W14" i="2144"/>
  <c r="W13" i="2144"/>
  <c r="Z25" i="2144"/>
  <c r="Z30" i="2144" s="1"/>
  <c r="H12" i="2144"/>
  <c r="T12" i="2144"/>
  <c r="T13" i="2144" s="1"/>
  <c r="AB18" i="2144"/>
  <c r="AB23" i="2144" s="1"/>
  <c r="Y25" i="2144"/>
  <c r="AB25" i="2144"/>
  <c r="AB30" i="2144" s="1"/>
  <c r="I12" i="2144"/>
  <c r="U12" i="2144"/>
  <c r="K23" i="2144"/>
  <c r="W23" i="2144"/>
  <c r="L23" i="2144"/>
  <c r="X23" i="2144"/>
  <c r="L12" i="2144"/>
  <c r="O23" i="2144"/>
  <c r="P13" i="2144" l="1"/>
  <c r="I56" i="2"/>
  <c r="S14" i="2144"/>
  <c r="I57" i="2"/>
  <c r="I54" i="2"/>
  <c r="V14" i="2144"/>
  <c r="I58" i="2"/>
  <c r="AC11" i="2144"/>
  <c r="I17" i="2"/>
  <c r="S13" i="2144"/>
  <c r="F13" i="2144"/>
  <c r="V15" i="2144"/>
  <c r="J13" i="2144"/>
  <c r="X13" i="2144"/>
  <c r="E14" i="2144"/>
  <c r="X14" i="2144"/>
  <c r="R14" i="2144"/>
  <c r="H13" i="2144"/>
  <c r="U14" i="2144"/>
  <c r="O14" i="2144"/>
  <c r="P14" i="2144"/>
  <c r="Y12" i="2144"/>
  <c r="I25" i="2" s="1"/>
  <c r="I30" i="2" s="1"/>
  <c r="E13" i="2144"/>
  <c r="E15" i="2144"/>
  <c r="AA12" i="2144"/>
  <c r="I27" i="2" s="1"/>
  <c r="I32" i="2" s="1"/>
  <c r="O13" i="2144"/>
  <c r="V13" i="2144"/>
  <c r="N14" i="2144"/>
  <c r="M13" i="2144"/>
  <c r="M14" i="2144"/>
  <c r="P15" i="2144"/>
  <c r="R13" i="2144"/>
  <c r="Q13" i="2144"/>
  <c r="Z12" i="2144"/>
  <c r="I26" i="2" s="1"/>
  <c r="I31" i="2" s="1"/>
  <c r="I14" i="2144"/>
  <c r="AB12" i="2144"/>
  <c r="Y30" i="2144"/>
  <c r="AC25" i="2144"/>
  <c r="AC30" i="2144" s="1"/>
  <c r="L14" i="2144"/>
  <c r="L13" i="2144"/>
  <c r="L15" i="2144"/>
  <c r="U13" i="2144"/>
  <c r="I13" i="2144"/>
  <c r="H14" i="2144"/>
  <c r="H15" i="2144"/>
  <c r="AC18" i="2144"/>
  <c r="AC23" i="2144" s="1"/>
  <c r="S15" i="2144"/>
  <c r="T14" i="2144"/>
  <c r="I13" i="2" l="1"/>
  <c r="I22" i="2" s="1"/>
  <c r="AB14" i="2144"/>
  <c r="I28" i="2"/>
  <c r="Y13" i="2144"/>
  <c r="Y14" i="2144"/>
  <c r="AA14" i="2144"/>
  <c r="Z14" i="2144"/>
  <c r="Z13" i="2144"/>
  <c r="AB13" i="2144"/>
  <c r="AC12" i="2144"/>
  <c r="K16" i="2144" s="1"/>
  <c r="Y15" i="2144"/>
  <c r="I33" i="2" l="1"/>
  <c r="I23" i="2"/>
  <c r="I19" i="2"/>
  <c r="I41" i="2"/>
  <c r="I42" i="2"/>
  <c r="I43" i="2"/>
  <c r="I40" i="2"/>
  <c r="I20" i="2"/>
  <c r="I21" i="2"/>
  <c r="AC13" i="2144"/>
  <c r="V16" i="2144"/>
  <c r="E16" i="2144"/>
  <c r="P16" i="2144"/>
  <c r="Y16" i="2144"/>
  <c r="AC14" i="2144"/>
  <c r="L16" i="2144"/>
  <c r="H16" i="2144"/>
  <c r="S16" i="2144"/>
  <c r="I39" i="2" l="1"/>
  <c r="I18" i="2"/>
  <c r="I24" i="2"/>
  <c r="I29" i="2"/>
  <c r="H25" i="2" l="1"/>
  <c r="F25" i="2" s="1"/>
  <c r="AA95" i="2" l="1"/>
  <c r="AA94" i="2"/>
  <c r="AA93" i="2"/>
  <c r="AA92" i="2"/>
  <c r="AA91" i="2"/>
  <c r="AA90" i="2"/>
  <c r="AA89" i="2"/>
  <c r="AA88" i="2"/>
  <c r="AA87" i="2"/>
  <c r="AA86" i="2"/>
  <c r="AA84" i="2"/>
  <c r="AA83" i="2"/>
  <c r="AA82" i="2"/>
  <c r="AA81" i="2"/>
  <c r="AA80" i="2"/>
  <c r="AA77" i="2"/>
  <c r="AA74" i="2"/>
  <c r="AA73" i="2"/>
  <c r="AA72" i="2"/>
  <c r="AA68" i="2"/>
  <c r="AA66" i="2"/>
  <c r="AA65" i="2"/>
  <c r="AA64" i="2"/>
  <c r="AA63" i="2"/>
  <c r="AA62" i="2"/>
  <c r="AA61" i="2"/>
  <c r="AA60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8" i="2"/>
  <c r="Z77" i="2"/>
  <c r="Z74" i="2"/>
  <c r="Z73" i="2"/>
  <c r="Z72" i="2"/>
  <c r="Z68" i="2"/>
  <c r="Z66" i="2"/>
  <c r="Z65" i="2"/>
  <c r="Z64" i="2"/>
  <c r="Z63" i="2"/>
  <c r="Z62" i="2"/>
  <c r="Z61" i="2"/>
  <c r="Z60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5" i="2"/>
  <c r="Y74" i="2"/>
  <c r="Y73" i="2"/>
  <c r="Y72" i="2"/>
  <c r="Y68" i="2"/>
  <c r="Y67" i="2"/>
  <c r="Y66" i="2"/>
  <c r="Y65" i="2"/>
  <c r="Y64" i="2"/>
  <c r="Y63" i="2"/>
  <c r="Y62" i="2"/>
  <c r="Y61" i="2"/>
  <c r="Y60" i="2"/>
  <c r="AA78" i="2"/>
  <c r="AA75" i="2"/>
  <c r="AA7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68" i="2"/>
  <c r="W67" i="2"/>
  <c r="W66" i="2"/>
  <c r="W65" i="2"/>
  <c r="W64" i="2"/>
  <c r="W63" i="2"/>
  <c r="W62" i="2"/>
  <c r="W61" i="2"/>
  <c r="W60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68" i="2"/>
  <c r="V67" i="2"/>
  <c r="V66" i="2"/>
  <c r="V65" i="2"/>
  <c r="V64" i="2"/>
  <c r="V63" i="2"/>
  <c r="V62" i="2"/>
  <c r="V60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68" i="2"/>
  <c r="U67" i="2"/>
  <c r="U66" i="2"/>
  <c r="U65" i="2"/>
  <c r="U64" i="2"/>
  <c r="U63" i="2"/>
  <c r="U62" i="2"/>
  <c r="U61" i="2"/>
  <c r="U60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68" i="2"/>
  <c r="T67" i="2"/>
  <c r="T66" i="2"/>
  <c r="T65" i="2"/>
  <c r="T64" i="2"/>
  <c r="T63" i="2"/>
  <c r="T62" i="2"/>
  <c r="T61" i="2"/>
  <c r="T60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68" i="2"/>
  <c r="S67" i="2"/>
  <c r="S66" i="2"/>
  <c r="S65" i="2"/>
  <c r="S64" i="2"/>
  <c r="S63" i="2"/>
  <c r="S62" i="2"/>
  <c r="S61" i="2"/>
  <c r="S60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5" i="2"/>
  <c r="R74" i="2"/>
  <c r="R73" i="2"/>
  <c r="R72" i="2"/>
  <c r="R68" i="2"/>
  <c r="R67" i="2"/>
  <c r="R66" i="2"/>
  <c r="R65" i="2"/>
  <c r="R64" i="2"/>
  <c r="R63" i="2"/>
  <c r="R62" i="2"/>
  <c r="R61" i="2"/>
  <c r="R60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68" i="2"/>
  <c r="P67" i="2"/>
  <c r="P66" i="2"/>
  <c r="P65" i="2"/>
  <c r="P64" i="2"/>
  <c r="P63" i="2"/>
  <c r="P62" i="2"/>
  <c r="P61" i="2"/>
  <c r="P60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1" i="2"/>
  <c r="O80" i="2"/>
  <c r="O79" i="2"/>
  <c r="O78" i="2"/>
  <c r="O77" i="2"/>
  <c r="O76" i="2"/>
  <c r="O75" i="2"/>
  <c r="O74" i="2"/>
  <c r="O73" i="2"/>
  <c r="O72" i="2"/>
  <c r="N68" i="2"/>
  <c r="O68" i="2"/>
  <c r="O67" i="2"/>
  <c r="O66" i="2"/>
  <c r="O65" i="2"/>
  <c r="O64" i="2"/>
  <c r="O63" i="2"/>
  <c r="O62" i="2"/>
  <c r="O61" i="2"/>
  <c r="O60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67" i="2"/>
  <c r="N66" i="2"/>
  <c r="N65" i="2"/>
  <c r="N64" i="2"/>
  <c r="N63" i="2"/>
  <c r="N62" i="2"/>
  <c r="N61" i="2"/>
  <c r="N60" i="2"/>
  <c r="AA79" i="2"/>
  <c r="AA67" i="2"/>
  <c r="AA85" i="2"/>
  <c r="Z75" i="2"/>
  <c r="Z76" i="2"/>
  <c r="Z67" i="2"/>
  <c r="Z79" i="2"/>
  <c r="Y76" i="2"/>
  <c r="V61" i="2"/>
  <c r="R76" i="2"/>
  <c r="O82" i="2"/>
  <c r="M95" i="2"/>
  <c r="M94" i="2"/>
  <c r="M93" i="2"/>
  <c r="M92" i="2"/>
  <c r="M89" i="2"/>
  <c r="M87" i="2"/>
  <c r="M86" i="2"/>
  <c r="M84" i="2"/>
  <c r="M83" i="2"/>
  <c r="M80" i="2"/>
  <c r="M78" i="2"/>
  <c r="M77" i="2"/>
  <c r="M74" i="2"/>
  <c r="M72" i="2"/>
  <c r="M68" i="2"/>
  <c r="M65" i="2"/>
  <c r="M64" i="2"/>
  <c r="M63" i="2"/>
  <c r="M62" i="2"/>
  <c r="M60" i="2"/>
  <c r="L95" i="2"/>
  <c r="L94" i="2"/>
  <c r="L93" i="2"/>
  <c r="L92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5" i="2"/>
  <c r="L74" i="2"/>
  <c r="L72" i="2"/>
  <c r="L68" i="2"/>
  <c r="L67" i="2"/>
  <c r="L66" i="2"/>
  <c r="L65" i="2"/>
  <c r="L64" i="2"/>
  <c r="L63" i="2"/>
  <c r="L62" i="2"/>
  <c r="L61" i="2"/>
  <c r="L60" i="2"/>
  <c r="M82" i="2"/>
  <c r="M90" i="2"/>
  <c r="M81" i="2"/>
  <c r="M75" i="2"/>
  <c r="M66" i="2"/>
  <c r="M61" i="2"/>
  <c r="M73" i="2"/>
  <c r="M91" i="2"/>
  <c r="M88" i="2"/>
  <c r="M76" i="2"/>
  <c r="M85" i="2"/>
  <c r="M79" i="2"/>
  <c r="M67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5" i="2"/>
  <c r="K74" i="2"/>
  <c r="K73" i="2"/>
  <c r="K72" i="2"/>
  <c r="K68" i="2"/>
  <c r="K67" i="2"/>
  <c r="K66" i="2"/>
  <c r="K65" i="2"/>
  <c r="K64" i="2"/>
  <c r="K63" i="2"/>
  <c r="K62" i="2"/>
  <c r="K61" i="2"/>
  <c r="K60" i="2"/>
  <c r="L91" i="2"/>
  <c r="L76" i="2"/>
  <c r="L73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5" i="2"/>
  <c r="I74" i="2"/>
  <c r="I73" i="2"/>
  <c r="I72" i="2"/>
  <c r="I68" i="2"/>
  <c r="I66" i="2"/>
  <c r="I65" i="2"/>
  <c r="I64" i="2"/>
  <c r="I63" i="2"/>
  <c r="I62" i="2"/>
  <c r="I61" i="2"/>
  <c r="I60" i="2"/>
  <c r="K76" i="2"/>
  <c r="I67" i="2"/>
  <c r="I76" i="2"/>
  <c r="H69" i="2"/>
  <c r="H70" i="2"/>
  <c r="H71" i="2"/>
  <c r="H38" i="2"/>
  <c r="H35" i="2"/>
  <c r="Z29" i="1495"/>
  <c r="Y29" i="1495"/>
  <c r="X29" i="1495"/>
  <c r="W29" i="1495"/>
  <c r="Z28" i="1495"/>
  <c r="Y28" i="1495"/>
  <c r="X28" i="1495"/>
  <c r="W28" i="1495"/>
  <c r="Z27" i="1495"/>
  <c r="Y27" i="1495"/>
  <c r="X27" i="1495"/>
  <c r="W27" i="1495"/>
  <c r="Z26" i="1495"/>
  <c r="Y26" i="1495"/>
  <c r="X26" i="1495"/>
  <c r="W26" i="1495"/>
  <c r="V25" i="1495"/>
  <c r="V30" i="1495" s="1"/>
  <c r="U25" i="1495"/>
  <c r="U30" i="1495" s="1"/>
  <c r="T25" i="1495"/>
  <c r="T30" i="1495" s="1"/>
  <c r="S25" i="1495"/>
  <c r="S30" i="1495" s="1"/>
  <c r="R25" i="1495"/>
  <c r="R30" i="1495" s="1"/>
  <c r="Q25" i="1495"/>
  <c r="Q30" i="1495" s="1"/>
  <c r="P25" i="1495"/>
  <c r="P30" i="1495" s="1"/>
  <c r="O25" i="1495"/>
  <c r="O30" i="1495" s="1"/>
  <c r="N25" i="1495"/>
  <c r="N30" i="1495" s="1"/>
  <c r="M25" i="1495"/>
  <c r="M30" i="1495" s="1"/>
  <c r="L25" i="1495"/>
  <c r="L30" i="1495" s="1"/>
  <c r="K25" i="1495"/>
  <c r="K30" i="1495" s="1"/>
  <c r="J25" i="1495"/>
  <c r="J30" i="1495" s="1"/>
  <c r="I25" i="1495"/>
  <c r="I30" i="1495" s="1"/>
  <c r="H25" i="1495"/>
  <c r="H30" i="1495" s="1"/>
  <c r="G25" i="1495"/>
  <c r="G30" i="1495" s="1"/>
  <c r="F25" i="1495"/>
  <c r="F30" i="1495" s="1"/>
  <c r="E25" i="1495"/>
  <c r="E30" i="1495" s="1"/>
  <c r="Z24" i="1495"/>
  <c r="Y24" i="1495"/>
  <c r="X24" i="1495"/>
  <c r="W24" i="1495"/>
  <c r="Z22" i="1495"/>
  <c r="Y22" i="1495"/>
  <c r="X22" i="1495"/>
  <c r="W22" i="1495"/>
  <c r="Z21" i="1495"/>
  <c r="Y21" i="1495"/>
  <c r="X21" i="1495"/>
  <c r="W21" i="1495"/>
  <c r="Z20" i="1495"/>
  <c r="Y20" i="1495"/>
  <c r="X20" i="1495"/>
  <c r="W20" i="1495"/>
  <c r="Z19" i="1495"/>
  <c r="Y19" i="1495"/>
  <c r="X19" i="1495"/>
  <c r="W19" i="1495"/>
  <c r="V18" i="1495"/>
  <c r="V23" i="1495" s="1"/>
  <c r="U18" i="1495"/>
  <c r="U23" i="1495" s="1"/>
  <c r="T18" i="1495"/>
  <c r="T23" i="1495" s="1"/>
  <c r="S18" i="1495"/>
  <c r="S23" i="1495" s="1"/>
  <c r="R18" i="1495"/>
  <c r="R23" i="1495" s="1"/>
  <c r="Q18" i="1495"/>
  <c r="Q23" i="1495" s="1"/>
  <c r="P18" i="1495"/>
  <c r="P12" i="1495" s="1"/>
  <c r="O18" i="1495"/>
  <c r="O23" i="1495" s="1"/>
  <c r="N18" i="1495"/>
  <c r="N23" i="1495" s="1"/>
  <c r="M18" i="1495"/>
  <c r="M23" i="1495" s="1"/>
  <c r="L18" i="1495"/>
  <c r="L23" i="1495" s="1"/>
  <c r="K18" i="1495"/>
  <c r="K23" i="1495" s="1"/>
  <c r="J18" i="1495"/>
  <c r="J23" i="1495" s="1"/>
  <c r="I18" i="1495"/>
  <c r="I23" i="1495" s="1"/>
  <c r="H18" i="1495"/>
  <c r="H23" i="1495" s="1"/>
  <c r="G18" i="1495"/>
  <c r="G23" i="1495" s="1"/>
  <c r="F18" i="1495"/>
  <c r="F23" i="1495" s="1"/>
  <c r="E18" i="1495"/>
  <c r="E23" i="1495" s="1"/>
  <c r="Z17" i="1495"/>
  <c r="Y17" i="1495"/>
  <c r="X17" i="1495"/>
  <c r="W17" i="1495"/>
  <c r="V11" i="1495"/>
  <c r="U11" i="1495"/>
  <c r="T11" i="1495"/>
  <c r="S11" i="1495"/>
  <c r="R11" i="1495"/>
  <c r="Q11" i="1495"/>
  <c r="P11" i="1495"/>
  <c r="O11" i="1495"/>
  <c r="N11" i="1495"/>
  <c r="M11" i="1495"/>
  <c r="L11" i="1495"/>
  <c r="Y11" i="1495" s="1"/>
  <c r="K11" i="1495"/>
  <c r="J11" i="1495"/>
  <c r="I11" i="1495"/>
  <c r="H11" i="1495"/>
  <c r="G11" i="1495"/>
  <c r="F11" i="1495"/>
  <c r="E11" i="1495"/>
  <c r="H37" i="2"/>
  <c r="H36" i="2"/>
  <c r="AM59" i="2"/>
  <c r="AO7" i="2"/>
  <c r="F36" i="2" l="1"/>
  <c r="F37" i="2"/>
  <c r="F35" i="2"/>
  <c r="F38" i="2"/>
  <c r="Y18" i="1495"/>
  <c r="Y23" i="1495" s="1"/>
  <c r="AA27" i="1495"/>
  <c r="H61" i="2"/>
  <c r="AA19" i="1495"/>
  <c r="H92" i="2"/>
  <c r="H81" i="2"/>
  <c r="H88" i="2"/>
  <c r="L12" i="1495"/>
  <c r="Y12" i="1495" s="1"/>
  <c r="Y14" i="1495" s="1"/>
  <c r="M12" i="1495"/>
  <c r="M13" i="1495" s="1"/>
  <c r="H64" i="2"/>
  <c r="H93" i="2"/>
  <c r="H66" i="2"/>
  <c r="H72" i="2"/>
  <c r="H86" i="2"/>
  <c r="H89" i="2"/>
  <c r="H84" i="2"/>
  <c r="H60" i="2"/>
  <c r="H63" i="2"/>
  <c r="K12" i="1495"/>
  <c r="K14" i="1495" s="1"/>
  <c r="H67" i="2"/>
  <c r="H83" i="2"/>
  <c r="H90" i="2"/>
  <c r="H74" i="2"/>
  <c r="H73" i="2"/>
  <c r="H79" i="2"/>
  <c r="H82" i="2"/>
  <c r="Y25" i="1495"/>
  <c r="Y30" i="1495" s="1"/>
  <c r="P13" i="1495"/>
  <c r="AA20" i="1495"/>
  <c r="AA24" i="1495"/>
  <c r="H85" i="2"/>
  <c r="H65" i="2"/>
  <c r="P23" i="1495"/>
  <c r="O12" i="1495"/>
  <c r="O14" i="1495" s="1"/>
  <c r="H87" i="2"/>
  <c r="H78" i="2"/>
  <c r="H76" i="2"/>
  <c r="H91" i="2"/>
  <c r="H68" i="2"/>
  <c r="H95" i="2"/>
  <c r="H94" i="2"/>
  <c r="H75" i="2"/>
  <c r="H62" i="2"/>
  <c r="H77" i="2"/>
  <c r="H80" i="2"/>
  <c r="X25" i="1495"/>
  <c r="X30" i="1495" s="1"/>
  <c r="AA21" i="1495"/>
  <c r="AA28" i="1495"/>
  <c r="R12" i="1495"/>
  <c r="R14" i="1495" s="1"/>
  <c r="Q12" i="1495"/>
  <c r="Q13" i="1495" s="1"/>
  <c r="E12" i="1495"/>
  <c r="E14" i="1495" s="1"/>
  <c r="AA22" i="1495"/>
  <c r="AA26" i="1495"/>
  <c r="AA29" i="1495"/>
  <c r="Z18" i="1495"/>
  <c r="Z23" i="1495" s="1"/>
  <c r="W18" i="1495"/>
  <c r="W23" i="1495" s="1"/>
  <c r="N12" i="1495"/>
  <c r="V12" i="1495"/>
  <c r="V14" i="1495" s="1"/>
  <c r="J12" i="1495"/>
  <c r="J14" i="1495" s="1"/>
  <c r="S12" i="1495"/>
  <c r="S14" i="1495" s="1"/>
  <c r="T12" i="1495"/>
  <c r="T13" i="1495" s="1"/>
  <c r="U12" i="1495"/>
  <c r="Z25" i="1495"/>
  <c r="Z30" i="1495" s="1"/>
  <c r="I12" i="1495"/>
  <c r="I13" i="1495" s="1"/>
  <c r="X18" i="1495"/>
  <c r="X23" i="1495" s="1"/>
  <c r="W11" i="1495"/>
  <c r="L13" i="1495"/>
  <c r="Y13" i="1495" s="1"/>
  <c r="W25" i="1495"/>
  <c r="W30" i="1495" s="1"/>
  <c r="P14" i="1495"/>
  <c r="H12" i="1495"/>
  <c r="H13" i="1495" s="1"/>
  <c r="Z11" i="1495"/>
  <c r="G12" i="1495"/>
  <c r="F12" i="1495"/>
  <c r="F13" i="1495" s="1"/>
  <c r="X11" i="1495"/>
  <c r="AD13" i="1495" s="1"/>
  <c r="J13" i="1495"/>
  <c r="AA17" i="1495"/>
  <c r="K13" i="1495"/>
  <c r="E15" i="1495"/>
  <c r="Q14" i="1495"/>
  <c r="H34" i="2"/>
  <c r="F34" i="2" l="1"/>
  <c r="AA18" i="1495"/>
  <c r="AA23" i="1495" s="1"/>
  <c r="E13" i="1495"/>
  <c r="AD11" i="1495"/>
  <c r="AA11" i="1495"/>
  <c r="M14" i="1495"/>
  <c r="L14" i="1495"/>
  <c r="J15" i="1495"/>
  <c r="AA25" i="1495"/>
  <c r="AA30" i="1495" s="1"/>
  <c r="I14" i="1495"/>
  <c r="I15" i="1495"/>
  <c r="O13" i="1495"/>
  <c r="Q15" i="1495"/>
  <c r="R13" i="1495"/>
  <c r="T15" i="1495"/>
  <c r="W12" i="1495"/>
  <c r="W14" i="1495" s="1"/>
  <c r="N13" i="1495"/>
  <c r="N14" i="1495"/>
  <c r="N15" i="1495"/>
  <c r="T14" i="1495"/>
  <c r="V13" i="1495"/>
  <c r="Z12" i="1495"/>
  <c r="Z14" i="1495" s="1"/>
  <c r="S13" i="1495"/>
  <c r="U14" i="1495"/>
  <c r="U13" i="1495"/>
  <c r="H14" i="1495"/>
  <c r="G14" i="1495"/>
  <c r="G15" i="1495"/>
  <c r="G13" i="1495"/>
  <c r="F14" i="1495"/>
  <c r="X12" i="1495"/>
  <c r="H15" i="2"/>
  <c r="F15" i="2" s="1"/>
  <c r="H16" i="2"/>
  <c r="F16" i="2" s="1"/>
  <c r="H53" i="2" l="1"/>
  <c r="X13" i="1495"/>
  <c r="Z13" i="1495"/>
  <c r="H58" i="2"/>
  <c r="W13" i="1495"/>
  <c r="H54" i="2"/>
  <c r="H55" i="2"/>
  <c r="H17" i="2"/>
  <c r="H56" i="2"/>
  <c r="AD12" i="1495"/>
  <c r="W15" i="1495"/>
  <c r="X14" i="1495"/>
  <c r="AA12" i="1495"/>
  <c r="H57" i="2"/>
  <c r="H14" i="2"/>
  <c r="F14" i="2" s="1"/>
  <c r="F56" i="2" l="1"/>
  <c r="F17" i="2"/>
  <c r="F55" i="2"/>
  <c r="F54" i="2"/>
  <c r="F58" i="2"/>
  <c r="F57" i="2"/>
  <c r="F53" i="2"/>
  <c r="F18" i="2"/>
  <c r="AA13" i="1495"/>
  <c r="H30" i="2"/>
  <c r="H13" i="2"/>
  <c r="F13" i="2" s="1"/>
  <c r="Q16" i="1495"/>
  <c r="N16" i="1495"/>
  <c r="T16" i="1495"/>
  <c r="E16" i="1495"/>
  <c r="AA14" i="1495"/>
  <c r="I16" i="1495"/>
  <c r="J16" i="1495"/>
  <c r="G16" i="1495"/>
  <c r="W16" i="1495"/>
  <c r="H27" i="2"/>
  <c r="F27" i="2" s="1"/>
  <c r="H19" i="2"/>
  <c r="F19" i="2" s="1"/>
  <c r="H26" i="2"/>
  <c r="F26" i="2" s="1"/>
  <c r="H28" i="2"/>
  <c r="F28" i="2" s="1"/>
  <c r="F30" i="2" l="1"/>
  <c r="F23" i="2"/>
  <c r="H23" i="2"/>
  <c r="H39" i="2"/>
  <c r="H21" i="2"/>
  <c r="H43" i="2"/>
  <c r="H22" i="2"/>
  <c r="H20" i="2"/>
  <c r="H40" i="2"/>
  <c r="H42" i="2"/>
  <c r="H32" i="2"/>
  <c r="H41" i="2"/>
  <c r="H31" i="2"/>
  <c r="H33" i="2"/>
  <c r="F40" i="2" l="1"/>
  <c r="F41" i="2"/>
  <c r="F42" i="2"/>
  <c r="F43" i="2"/>
  <c r="F21" i="2"/>
  <c r="F39" i="2"/>
  <c r="F33" i="2"/>
  <c r="F20" i="2"/>
  <c r="F32" i="2"/>
  <c r="F22" i="2"/>
  <c r="F31" i="2"/>
  <c r="H18" i="2"/>
  <c r="H24" i="2"/>
  <c r="H29" i="2"/>
  <c r="F29" i="2" l="1"/>
  <c r="F24" i="2"/>
</calcChain>
</file>

<file path=xl/comments1.xml><?xml version="1.0" encoding="utf-8"?>
<comments xmlns="http://schemas.openxmlformats.org/spreadsheetml/2006/main">
  <authors>
    <author>Windows 사용자</author>
  </authors>
  <commentList>
    <comment ref="C44" authorId="0" shapeId="0">
      <text>
        <r>
          <rPr>
            <b/>
            <sz val="9"/>
            <color indexed="81"/>
            <rFont val="Tahoma"/>
            <family val="2"/>
          </rPr>
          <t>SL va ti le nghi viec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Ti le nghi viec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6" authorId="0" shapeId="0">
      <text>
        <r>
          <rPr>
            <b/>
            <sz val="9"/>
            <color indexed="81"/>
            <rFont val="Tahoma"/>
            <family val="2"/>
          </rPr>
          <t>1 tuan ~</t>
        </r>
      </text>
    </comment>
    <comment ref="E47" authorId="0" shapeId="0">
      <text>
        <r>
          <rPr>
            <sz val="9"/>
            <color indexed="81"/>
            <rFont val="Tahoma"/>
            <family val="2"/>
          </rPr>
          <t xml:space="preserve">GT
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TT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0" authorId="0" shapeId="0">
      <text>
        <r>
          <rPr>
            <b/>
            <sz val="9"/>
            <color indexed="81"/>
            <rFont val="Tahoma"/>
            <family val="2"/>
          </rPr>
          <t>TT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1" authorId="0" shapeId="0">
      <text>
        <r>
          <rPr>
            <b/>
            <sz val="9"/>
            <color indexed="81"/>
            <rFont val="Tahoma"/>
            <family val="2"/>
          </rPr>
          <t>Ti le nghi viec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0" shapeId="0">
      <text>
        <r>
          <rPr>
            <b/>
            <sz val="9"/>
            <color indexed="81"/>
            <rFont val="Tahoma"/>
            <family val="2"/>
          </rPr>
          <t>SL va ti le nghi viec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6" authorId="0" shapeId="0">
      <text>
        <r>
          <rPr>
            <b/>
            <sz val="9"/>
            <color indexed="81"/>
            <rFont val="Tahoma"/>
            <family val="2"/>
          </rPr>
          <t>Ti le nghi viec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2" authorId="0" shapeId="0">
      <text>
        <r>
          <rPr>
            <b/>
            <sz val="9"/>
            <color indexed="81"/>
            <rFont val="Tahoma"/>
            <family val="2"/>
          </rPr>
          <t>1 tuan ~</t>
        </r>
      </text>
    </comment>
    <comment ref="E78" authorId="0" shapeId="0">
      <text>
        <r>
          <rPr>
            <sz val="9"/>
            <color indexed="81"/>
            <rFont val="Tahoma"/>
            <family val="2"/>
          </rPr>
          <t xml:space="preserve">GT
</t>
        </r>
      </text>
    </comment>
    <comment ref="E84" authorId="0" shapeId="0">
      <text>
        <r>
          <rPr>
            <b/>
            <sz val="9"/>
            <color indexed="81"/>
            <rFont val="Tahoma"/>
            <family val="2"/>
          </rPr>
          <t>TT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<sst xmlns="http://schemas.openxmlformats.org/spreadsheetml/2006/main" count="278" uniqueCount="89">
  <si>
    <t>보고 부서</t>
    <phoneticPr fontId="0" type="noConversion"/>
  </si>
  <si>
    <t>인사팀</t>
    <phoneticPr fontId="0" type="noConversion"/>
  </si>
  <si>
    <t>작성자</t>
    <phoneticPr fontId="0" type="noConversion"/>
  </si>
  <si>
    <t>비고</t>
  </si>
  <si>
    <t>간접</t>
    <phoneticPr fontId="0" type="noConversion"/>
  </si>
  <si>
    <t>페이지 번호</t>
    <phoneticPr fontId="0" type="noConversion"/>
  </si>
  <si>
    <t>작성일자</t>
    <phoneticPr fontId="0" type="noConversion"/>
  </si>
  <si>
    <t>구 분</t>
    <phoneticPr fontId="0" type="noConversion"/>
  </si>
  <si>
    <t>전체
(Tong)</t>
    <phoneticPr fontId="0" type="noConversion"/>
  </si>
  <si>
    <t>Total</t>
    <phoneticPr fontId="0" type="noConversion"/>
  </si>
  <si>
    <t>직접 1</t>
  </si>
  <si>
    <t>직접 2</t>
  </si>
  <si>
    <t>퇴사인원</t>
    <phoneticPr fontId="0" type="noConversion"/>
  </si>
  <si>
    <t>퇴사율</t>
    <phoneticPr fontId="0" type="noConversion"/>
  </si>
  <si>
    <t>퇴사율 "2"</t>
  </si>
  <si>
    <t>근태 상황 보고서</t>
  </si>
  <si>
    <t>(단위 : 명)</t>
    <phoneticPr fontId="0" type="noConversion"/>
  </si>
  <si>
    <t>구분</t>
    <phoneticPr fontId="0" type="noConversion"/>
  </si>
  <si>
    <t>합계</t>
    <phoneticPr fontId="0" type="noConversion"/>
  </si>
  <si>
    <t>Total</t>
  </si>
  <si>
    <t>직접 2
(T.T)</t>
  </si>
  <si>
    <t>직접 1
(T.T)</t>
  </si>
  <si>
    <t>총 인원수(TOTAL)</t>
  </si>
  <si>
    <t>출근 인원수(DL)</t>
  </si>
  <si>
    <t>결근인원수(V)</t>
  </si>
  <si>
    <t>출근율(%)</t>
    <phoneticPr fontId="0" type="noConversion"/>
  </si>
  <si>
    <t>점유율(%)</t>
    <phoneticPr fontId="6" type="noConversion"/>
  </si>
  <si>
    <t>무단결근(Ko.Ly Do)</t>
    <phoneticPr fontId="0" type="noConversion"/>
  </si>
  <si>
    <t>휴가(Co Ly Do)</t>
    <phoneticPr fontId="0" type="noConversion"/>
  </si>
  <si>
    <t>기타(Khac)</t>
    <phoneticPr fontId="0" type="noConversion"/>
  </si>
  <si>
    <t>퇴사 (Nghi viec)</t>
  </si>
  <si>
    <t>간접 2
(G.T)</t>
  </si>
  <si>
    <t>관리(HQ)</t>
  </si>
  <si>
    <t>Pham Thi Nhung</t>
  </si>
  <si>
    <t>작성일자</t>
  </si>
  <si>
    <t>+/-</t>
  </si>
  <si>
    <t>Sun</t>
  </si>
  <si>
    <t>No Sunday</t>
  </si>
  <si>
    <t>간접 1
(G.T)</t>
  </si>
  <si>
    <t>간접 1 (G.T)</t>
  </si>
  <si>
    <t>간접1 (G.T)</t>
  </si>
  <si>
    <t>간접1(G.T)</t>
  </si>
  <si>
    <t>Công nhân bộ phận P, E,Q,M,S,VPQL</t>
  </si>
  <si>
    <t>Công nhân  thời vụ bp P, Q,S,M</t>
  </si>
  <si>
    <t>부서별 출근 인원수</t>
  </si>
  <si>
    <t>정규
(CT)</t>
  </si>
  <si>
    <t>용역
(TV)</t>
  </si>
  <si>
    <t>출근인원 
(Di lam)</t>
  </si>
  <si>
    <t>출근율
(Ty le di lam)</t>
  </si>
  <si>
    <t>부서별 출근 현황
Hien trang di lam cac bo phan</t>
    <phoneticPr fontId="16" type="noConversion"/>
  </si>
  <si>
    <t>관리(QL)%</t>
  </si>
  <si>
    <t>제조기술 (TB)%</t>
  </si>
  <si>
    <t>제조(SX)%</t>
  </si>
  <si>
    <t>자재(MM)%</t>
  </si>
  <si>
    <t>영업(SM)%</t>
  </si>
  <si>
    <t>퇴사인원
Nghi Viec</t>
    <phoneticPr fontId="16" type="noConversion"/>
  </si>
  <si>
    <t>퇴사율
Ty Le
Nghi Viec</t>
    <phoneticPr fontId="16" type="noConversion"/>
  </si>
  <si>
    <t>Total %</t>
  </si>
  <si>
    <t>품질(QC)%</t>
  </si>
  <si>
    <t>관리(QL)</t>
  </si>
  <si>
    <t>제조 기술 (EQM)</t>
  </si>
  <si>
    <t>영업(SM)</t>
  </si>
  <si>
    <t>자재(MM)</t>
  </si>
  <si>
    <t>품질(QC)</t>
  </si>
  <si>
    <t>생산(SX)</t>
  </si>
  <si>
    <t>주간
(Ca Ngay)</t>
  </si>
  <si>
    <t>야간
(Ca Dem)</t>
  </si>
  <si>
    <t>전체
(Tong)</t>
  </si>
  <si>
    <t>근태 일자 : 2024  년  08월 10</t>
  </si>
  <si>
    <t>Ty le tong</t>
  </si>
  <si>
    <t>1 계</t>
  </si>
  <si>
    <t>NĂM</t>
  </si>
  <si>
    <t>NV CT</t>
  </si>
  <si>
    <t>NV TV</t>
  </si>
  <si>
    <t>ĐI LÀM CT</t>
  </si>
  <si>
    <t>ĐI LÀM TV</t>
  </si>
  <si>
    <t>TỔNG TV</t>
  </si>
  <si>
    <t>Tổng H</t>
  </si>
  <si>
    <t>Tổng E</t>
  </si>
  <si>
    <t>Tổng P</t>
  </si>
  <si>
    <t>TỔng Q</t>
  </si>
  <si>
    <t>TỔng M</t>
  </si>
  <si>
    <t>Tổng S</t>
  </si>
  <si>
    <t>Công nhân thời vụ là Transfer , vệ sinh sản xuất, kitting</t>
  </si>
  <si>
    <t>Người HQ, TT, ĐT, CN,DERI,TP,Nhân viên, TF, Kiting, Vệ sinh sx, Tray, Lxe</t>
  </si>
  <si>
    <t>근태 종합 보고(02월)</t>
  </si>
  <si>
    <t>2계</t>
  </si>
  <si>
    <t>근태 일자 : 2026  년  02월 01</t>
  </si>
  <si>
    <t>근태 일자 : 2026  년 02 월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</si>
</sst>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mm/dd/yy;@"/>
    <numFmt numFmtId="167" formatCode="_(* #,##0_);_(* \(#,##0\);_(* &quot;-&quot;??_);_(@_)"/>
    <numFmt numFmtId="168" formatCode="_-* #,##0.00\ _₫_-;\-* #,##0.00\ _₫_-;_-* &quot;-&quot;??\ _₫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3"/>
      <charset val="129"/>
      <scheme val="minor"/>
    </font>
    <font>
      <b/>
      <u/>
      <sz val="11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11"/>
      <color theme="0"/>
      <name val="Calibri"/>
      <family val="2"/>
      <scheme val="minor"/>
    </font>
    <font>
      <b/>
      <u/>
      <sz val="36"/>
      <color theme="1"/>
      <name val="Calibri"/>
      <family val="3"/>
      <charset val="129"/>
      <scheme val="minor"/>
    </font>
    <font>
      <b/>
      <u/>
      <sz val="34"/>
      <color theme="1"/>
      <name val="Calibri"/>
      <family val="3"/>
      <charset val="129"/>
      <scheme val="minor"/>
    </font>
    <font>
      <sz val="12"/>
      <name val=".VnTim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thin">
        <color indexed="64"/>
      </right>
      <top style="medium">
        <color indexed="64"/>
      </top>
      <bottom style="thick">
        <color rgb="FFFF0000"/>
      </bottom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thin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medium">
        <color indexed="64"/>
      </left>
      <right/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medium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 style="thick">
        <color rgb="FFFF0000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68" fontId="2" fillId="0" borderId="0" applyFont="0" applyFill="0" applyBorder="0" applyAlignment="0" applyProtection="0"/>
    <xf numFmtId="0" fontId="20" fillId="0" borderId="0"/>
    <xf numFmtId="164" fontId="2" fillId="0" borderId="0" applyFont="0" applyFill="0" applyBorder="0" applyAlignment="0" applyProtection="0">
      <alignment vertical="center"/>
    </xf>
  </cellStyleXfs>
  <cellXfs count="358">
    <xf numFmtId="0" fontId="0" fillId="0" borderId="0" xfId="0"/>
    <xf numFmtId="0" fontId="3" fillId="0" borderId="0" xfId="3" applyFont="1">
      <alignment vertical="center"/>
    </xf>
    <xf numFmtId="0" fontId="4" fillId="0" borderId="0" xfId="3" applyFont="1">
      <alignment vertical="center"/>
    </xf>
    <xf numFmtId="164" fontId="4" fillId="0" borderId="12" xfId="4" applyFont="1" applyBorder="1" applyAlignment="1">
      <alignment horizontal="center" vertical="center"/>
    </xf>
    <xf numFmtId="164" fontId="4" fillId="0" borderId="26" xfId="4" applyFont="1" applyFill="1" applyBorder="1" applyAlignment="1">
      <alignment horizontal="center" vertical="center"/>
    </xf>
    <xf numFmtId="164" fontId="4" fillId="0" borderId="26" xfId="4" applyFont="1" applyBorder="1" applyAlignment="1">
      <alignment horizontal="center" vertical="center"/>
    </xf>
    <xf numFmtId="164" fontId="4" fillId="0" borderId="41" xfId="4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42" xfId="3" applyFont="1" applyBorder="1" applyAlignment="1">
      <alignment horizontal="center" vertical="center" wrapText="1"/>
    </xf>
    <xf numFmtId="0" fontId="4" fillId="0" borderId="26" xfId="3" applyFont="1" applyBorder="1" applyAlignment="1">
      <alignment horizontal="center" vertical="center"/>
    </xf>
    <xf numFmtId="0" fontId="4" fillId="0" borderId="41" xfId="3" applyFont="1" applyBorder="1" applyAlignment="1">
      <alignment horizontal="center" vertical="center"/>
    </xf>
    <xf numFmtId="164" fontId="3" fillId="0" borderId="12" xfId="4" applyFont="1" applyBorder="1" applyAlignment="1">
      <alignment horizontal="left" vertical="center"/>
    </xf>
    <xf numFmtId="164" fontId="3" fillId="0" borderId="10" xfId="4" applyFont="1" applyBorder="1">
      <alignment vertical="center"/>
    </xf>
    <xf numFmtId="164" fontId="3" fillId="0" borderId="5" xfId="3" applyNumberFormat="1" applyFont="1" applyBorder="1">
      <alignment vertical="center"/>
    </xf>
    <xf numFmtId="0" fontId="3" fillId="0" borderId="0" xfId="2" applyNumberFormat="1" applyFont="1" applyAlignment="1">
      <alignment vertical="center"/>
    </xf>
    <xf numFmtId="164" fontId="3" fillId="0" borderId="42" xfId="4" applyFont="1" applyFill="1" applyBorder="1" applyAlignment="1">
      <alignment horizontal="left" vertical="center"/>
    </xf>
    <xf numFmtId="164" fontId="3" fillId="0" borderId="36" xfId="4" applyFont="1" applyFill="1" applyBorder="1">
      <alignment vertical="center"/>
    </xf>
    <xf numFmtId="164" fontId="3" fillId="2" borderId="25" xfId="4" applyFont="1" applyFill="1" applyBorder="1">
      <alignment vertical="center"/>
    </xf>
    <xf numFmtId="164" fontId="3" fillId="2" borderId="26" xfId="4" applyFont="1" applyFill="1" applyBorder="1">
      <alignment vertical="center"/>
    </xf>
    <xf numFmtId="164" fontId="3" fillId="0" borderId="8" xfId="3" applyNumberFormat="1" applyFont="1" applyBorder="1">
      <alignment vertical="center"/>
    </xf>
    <xf numFmtId="10" fontId="3" fillId="0" borderId="0" xfId="3" applyNumberFormat="1" applyFont="1">
      <alignment vertical="center"/>
    </xf>
    <xf numFmtId="164" fontId="3" fillId="0" borderId="42" xfId="4" applyFont="1" applyBorder="1" applyAlignment="1">
      <alignment horizontal="left" vertical="center"/>
    </xf>
    <xf numFmtId="164" fontId="3" fillId="0" borderId="36" xfId="4" applyFont="1" applyBorder="1">
      <alignment vertical="center"/>
    </xf>
    <xf numFmtId="164" fontId="3" fillId="0" borderId="49" xfId="4" applyFont="1" applyBorder="1">
      <alignment vertical="center"/>
    </xf>
    <xf numFmtId="164" fontId="3" fillId="0" borderId="31" xfId="4" applyFont="1" applyBorder="1">
      <alignment vertical="center"/>
    </xf>
    <xf numFmtId="164" fontId="3" fillId="0" borderId="50" xfId="3" applyNumberFormat="1" applyFont="1" applyBorder="1">
      <alignment vertical="center"/>
    </xf>
    <xf numFmtId="164" fontId="3" fillId="0" borderId="39" xfId="4" applyFont="1" applyFill="1" applyBorder="1">
      <alignment vertical="center"/>
    </xf>
    <xf numFmtId="164" fontId="3" fillId="0" borderId="0" xfId="3" applyNumberFormat="1" applyFont="1">
      <alignment vertical="center"/>
    </xf>
    <xf numFmtId="164" fontId="8" fillId="0" borderId="51" xfId="4" applyFont="1" applyBorder="1" applyAlignment="1">
      <alignment horizontal="left" vertical="center" wrapText="1"/>
    </xf>
    <xf numFmtId="164" fontId="8" fillId="0" borderId="52" xfId="4" applyFont="1" applyBorder="1">
      <alignment vertical="center"/>
    </xf>
    <xf numFmtId="164" fontId="8" fillId="0" borderId="53" xfId="4" applyFont="1" applyFill="1" applyBorder="1">
      <alignment vertical="center"/>
    </xf>
    <xf numFmtId="164" fontId="8" fillId="0" borderId="53" xfId="4" applyFont="1" applyBorder="1">
      <alignment vertical="center"/>
    </xf>
    <xf numFmtId="164" fontId="8" fillId="0" borderId="54" xfId="4" applyFont="1" applyBorder="1">
      <alignment vertical="center"/>
    </xf>
    <xf numFmtId="164" fontId="8" fillId="0" borderId="8" xfId="3" applyNumberFormat="1" applyFont="1" applyBorder="1">
      <alignment vertical="center"/>
    </xf>
    <xf numFmtId="164" fontId="8" fillId="0" borderId="55" xfId="4" applyFont="1" applyBorder="1" applyAlignment="1">
      <alignment horizontal="left" vertical="center" wrapText="1"/>
    </xf>
    <xf numFmtId="164" fontId="8" fillId="0" borderId="56" xfId="4" applyFont="1" applyBorder="1">
      <alignment vertical="center"/>
    </xf>
    <xf numFmtId="164" fontId="8" fillId="0" borderId="57" xfId="4" applyFont="1" applyBorder="1">
      <alignment vertical="center"/>
    </xf>
    <xf numFmtId="164" fontId="8" fillId="0" borderId="58" xfId="4" applyFont="1" applyBorder="1">
      <alignment vertical="center"/>
    </xf>
    <xf numFmtId="164" fontId="3" fillId="0" borderId="59" xfId="4" applyFont="1" applyBorder="1" applyAlignment="1">
      <alignment horizontal="left" vertical="center"/>
    </xf>
    <xf numFmtId="0" fontId="3" fillId="4" borderId="0" xfId="3" applyFont="1" applyFill="1">
      <alignment vertical="center"/>
    </xf>
    <xf numFmtId="0" fontId="3" fillId="0" borderId="0" xfId="3" applyFont="1" applyAlignment="1">
      <alignment horizontal="center" vertical="center"/>
    </xf>
    <xf numFmtId="164" fontId="8" fillId="0" borderId="62" xfId="4" applyFont="1" applyBorder="1">
      <alignment vertical="center"/>
    </xf>
    <xf numFmtId="164" fontId="8" fillId="0" borderId="63" xfId="4" applyFont="1" applyBorder="1">
      <alignment vertical="center"/>
    </xf>
    <xf numFmtId="9" fontId="3" fillId="2" borderId="40" xfId="6" applyFont="1" applyFill="1" applyBorder="1" applyAlignment="1">
      <alignment horizontal="center" vertical="center"/>
    </xf>
    <xf numFmtId="9" fontId="3" fillId="2" borderId="59" xfId="6" applyFont="1" applyFill="1" applyBorder="1" applyAlignment="1">
      <alignment horizontal="center" vertical="center"/>
    </xf>
    <xf numFmtId="164" fontId="4" fillId="5" borderId="10" xfId="5" applyFont="1" applyFill="1" applyBorder="1" applyAlignment="1">
      <alignment vertical="center"/>
    </xf>
    <xf numFmtId="164" fontId="4" fillId="5" borderId="27" xfId="5" applyFont="1" applyFill="1" applyBorder="1" applyAlignment="1">
      <alignment vertical="center"/>
    </xf>
    <xf numFmtId="164" fontId="4" fillId="5" borderId="28" xfId="5" applyFont="1" applyFill="1" applyBorder="1" applyAlignment="1">
      <alignment vertical="center"/>
    </xf>
    <xf numFmtId="164" fontId="4" fillId="5" borderId="61" xfId="5" applyFont="1" applyFill="1" applyBorder="1" applyAlignment="1">
      <alignment vertical="center"/>
    </xf>
    <xf numFmtId="164" fontId="4" fillId="5" borderId="30" xfId="5" applyFont="1" applyFill="1" applyBorder="1" applyAlignment="1">
      <alignment vertical="center"/>
    </xf>
    <xf numFmtId="164" fontId="4" fillId="5" borderId="31" xfId="5" applyFont="1" applyFill="1" applyBorder="1" applyAlignment="1">
      <alignment vertical="center"/>
    </xf>
    <xf numFmtId="9" fontId="4" fillId="5" borderId="11" xfId="2" applyFont="1" applyFill="1" applyBorder="1" applyAlignment="1">
      <alignment vertical="center"/>
    </xf>
    <xf numFmtId="9" fontId="4" fillId="5" borderId="32" xfId="2" applyFont="1" applyFill="1" applyBorder="1" applyAlignment="1">
      <alignment vertical="center"/>
    </xf>
    <xf numFmtId="9" fontId="4" fillId="5" borderId="33" xfId="2" applyFont="1" applyFill="1" applyBorder="1" applyAlignment="1">
      <alignment vertical="center"/>
    </xf>
    <xf numFmtId="9" fontId="4" fillId="5" borderId="34" xfId="2" applyFont="1" applyFill="1" applyBorder="1" applyAlignment="1">
      <alignment vertical="center"/>
    </xf>
    <xf numFmtId="164" fontId="4" fillId="5" borderId="11" xfId="5" applyFont="1" applyFill="1" applyBorder="1" applyAlignment="1">
      <alignment vertical="center"/>
    </xf>
    <xf numFmtId="165" fontId="4" fillId="5" borderId="36" xfId="2" applyNumberFormat="1" applyFont="1" applyFill="1" applyBorder="1" applyAlignment="1">
      <alignment vertical="center"/>
    </xf>
    <xf numFmtId="165" fontId="4" fillId="5" borderId="32" xfId="2" applyNumberFormat="1" applyFont="1" applyFill="1" applyBorder="1" applyAlignment="1">
      <alignment vertical="center"/>
    </xf>
    <xf numFmtId="164" fontId="4" fillId="5" borderId="37" xfId="5" applyFont="1" applyFill="1" applyBorder="1" applyAlignment="1">
      <alignment horizontal="center" vertical="center"/>
    </xf>
    <xf numFmtId="164" fontId="4" fillId="5" borderId="38" xfId="5" applyFont="1" applyFill="1" applyBorder="1" applyAlignment="1">
      <alignment horizontal="center" vertical="center"/>
    </xf>
    <xf numFmtId="165" fontId="3" fillId="5" borderId="39" xfId="2" applyNumberFormat="1" applyFont="1" applyFill="1" applyBorder="1" applyAlignment="1">
      <alignment vertical="center"/>
    </xf>
    <xf numFmtId="164" fontId="4" fillId="5" borderId="40" xfId="5" applyFont="1" applyFill="1" applyBorder="1" applyAlignment="1">
      <alignment horizontal="center" vertical="center"/>
    </xf>
    <xf numFmtId="165" fontId="4" fillId="5" borderId="39" xfId="2" applyNumberFormat="1" applyFont="1" applyFill="1" applyBorder="1" applyAlignment="1">
      <alignment vertical="center"/>
    </xf>
    <xf numFmtId="165" fontId="4" fillId="5" borderId="10" xfId="2" applyNumberFormat="1" applyFont="1" applyFill="1" applyBorder="1" applyAlignment="1">
      <alignment horizontal="center" vertical="center"/>
    </xf>
    <xf numFmtId="165" fontId="4" fillId="5" borderId="36" xfId="2" applyNumberFormat="1" applyFont="1" applyFill="1" applyBorder="1" applyAlignment="1">
      <alignment horizontal="center" vertical="center"/>
    </xf>
    <xf numFmtId="165" fontId="4" fillId="5" borderId="43" xfId="2" applyNumberFormat="1" applyFont="1" applyFill="1" applyBorder="1" applyAlignment="1">
      <alignment horizontal="center" vertical="center"/>
    </xf>
    <xf numFmtId="164" fontId="8" fillId="0" borderId="65" xfId="4" applyFont="1" applyBorder="1">
      <alignment vertical="center"/>
    </xf>
    <xf numFmtId="0" fontId="3" fillId="5" borderId="67" xfId="3" applyFont="1" applyFill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5" borderId="0" xfId="3" applyFont="1" applyFill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164" fontId="3" fillId="5" borderId="0" xfId="3" applyNumberFormat="1" applyFont="1" applyFill="1" applyAlignment="1">
      <alignment horizontal="center" vertical="center"/>
    </xf>
    <xf numFmtId="0" fontId="3" fillId="5" borderId="0" xfId="3" applyFont="1" applyFill="1">
      <alignment vertical="center"/>
    </xf>
    <xf numFmtId="43" fontId="3" fillId="5" borderId="0" xfId="1" applyFont="1" applyFill="1" applyAlignment="1">
      <alignment vertical="center"/>
    </xf>
    <xf numFmtId="166" fontId="3" fillId="5" borderId="0" xfId="3" applyNumberFormat="1" applyFont="1" applyFill="1">
      <alignment vertical="center"/>
    </xf>
    <xf numFmtId="43" fontId="3" fillId="0" borderId="0" xfId="3" applyNumberFormat="1" applyFont="1">
      <alignment vertical="center"/>
    </xf>
    <xf numFmtId="0" fontId="3" fillId="0" borderId="20" xfId="3" applyFont="1" applyBorder="1" applyAlignment="1">
      <alignment horizontal="center" vertical="center"/>
    </xf>
    <xf numFmtId="0" fontId="3" fillId="0" borderId="21" xfId="3" applyFont="1" applyBorder="1" applyAlignment="1">
      <alignment horizontal="center" vertical="center"/>
    </xf>
    <xf numFmtId="0" fontId="0" fillId="5" borderId="0" xfId="0" applyFill="1"/>
    <xf numFmtId="167" fontId="0" fillId="5" borderId="0" xfId="1" applyNumberFormat="1" applyFont="1" applyFill="1"/>
    <xf numFmtId="164" fontId="5" fillId="5" borderId="0" xfId="3" applyNumberFormat="1" applyFont="1" applyFill="1" applyAlignment="1">
      <alignment horizontal="center" vertical="center"/>
    </xf>
    <xf numFmtId="0" fontId="5" fillId="5" borderId="0" xfId="3" applyFont="1" applyFill="1" applyAlignment="1">
      <alignment horizontal="center" vertical="center"/>
    </xf>
    <xf numFmtId="164" fontId="5" fillId="5" borderId="0" xfId="3" applyNumberFormat="1" applyFont="1" applyFill="1" applyAlignment="1">
      <alignment horizontal="left" vertical="center"/>
    </xf>
    <xf numFmtId="0" fontId="3" fillId="0" borderId="68" xfId="3" applyFont="1" applyBorder="1" applyAlignment="1">
      <alignment horizontal="center" vertical="center"/>
    </xf>
    <xf numFmtId="0" fontId="10" fillId="0" borderId="0" xfId="3" applyFont="1">
      <alignment vertical="center"/>
    </xf>
    <xf numFmtId="9" fontId="3" fillId="0" borderId="0" xfId="2" applyFont="1" applyAlignment="1">
      <alignment vertical="center"/>
    </xf>
    <xf numFmtId="16" fontId="3" fillId="0" borderId="0" xfId="3" applyNumberFormat="1" applyFont="1">
      <alignment vertical="center"/>
    </xf>
    <xf numFmtId="0" fontId="9" fillId="5" borderId="0" xfId="3" applyFont="1" applyFill="1" applyAlignment="1">
      <alignment horizontal="center" vertical="center"/>
    </xf>
    <xf numFmtId="164" fontId="9" fillId="5" borderId="0" xfId="3" applyNumberFormat="1" applyFont="1" applyFill="1" applyAlignment="1">
      <alignment horizontal="center" vertical="center"/>
    </xf>
    <xf numFmtId="167" fontId="13" fillId="5" borderId="0" xfId="1" applyNumberFormat="1" applyFont="1" applyFill="1"/>
    <xf numFmtId="164" fontId="15" fillId="5" borderId="0" xfId="3" applyNumberFormat="1" applyFont="1" applyFill="1" applyAlignment="1">
      <alignment horizontal="center" vertical="center"/>
    </xf>
    <xf numFmtId="164" fontId="15" fillId="5" borderId="0" xfId="3" applyNumberFormat="1" applyFont="1" applyFill="1" applyAlignment="1">
      <alignment horizontal="left" vertical="center"/>
    </xf>
    <xf numFmtId="0" fontId="13" fillId="5" borderId="0" xfId="0" applyFont="1" applyFill="1"/>
    <xf numFmtId="16" fontId="9" fillId="5" borderId="0" xfId="3" applyNumberFormat="1" applyFont="1" applyFill="1" applyAlignment="1">
      <alignment horizontal="center" vertical="center"/>
    </xf>
    <xf numFmtId="164" fontId="3" fillId="0" borderId="11" xfId="4" applyFont="1" applyBorder="1">
      <alignment vertical="center"/>
    </xf>
    <xf numFmtId="164" fontId="3" fillId="0" borderId="39" xfId="4" applyFont="1" applyBorder="1">
      <alignment vertical="center"/>
    </xf>
    <xf numFmtId="9" fontId="3" fillId="2" borderId="72" xfId="6" applyFont="1" applyFill="1" applyBorder="1" applyAlignment="1">
      <alignment horizontal="center" vertical="center"/>
    </xf>
    <xf numFmtId="164" fontId="3" fillId="2" borderId="39" xfId="4" applyFont="1" applyFill="1" applyBorder="1">
      <alignment vertical="center"/>
    </xf>
    <xf numFmtId="164" fontId="4" fillId="4" borderId="10" xfId="5" applyFont="1" applyFill="1" applyBorder="1" applyAlignment="1">
      <alignment vertical="center"/>
    </xf>
    <xf numFmtId="164" fontId="4" fillId="4" borderId="27" xfId="5" applyFont="1" applyFill="1" applyBorder="1" applyAlignment="1">
      <alignment vertical="center"/>
    </xf>
    <xf numFmtId="164" fontId="4" fillId="4" borderId="28" xfId="5" applyFont="1" applyFill="1" applyBorder="1" applyAlignment="1">
      <alignment vertical="center"/>
    </xf>
    <xf numFmtId="164" fontId="4" fillId="4" borderId="61" xfId="5" applyFont="1" applyFill="1" applyBorder="1" applyAlignment="1">
      <alignment vertical="center"/>
    </xf>
    <xf numFmtId="164" fontId="4" fillId="4" borderId="30" xfId="5" applyFont="1" applyFill="1" applyBorder="1" applyAlignment="1">
      <alignment vertical="center"/>
    </xf>
    <xf numFmtId="164" fontId="4" fillId="4" borderId="31" xfId="5" applyFont="1" applyFill="1" applyBorder="1" applyAlignment="1">
      <alignment vertical="center"/>
    </xf>
    <xf numFmtId="9" fontId="4" fillId="4" borderId="11" xfId="2" applyFont="1" applyFill="1" applyBorder="1" applyAlignment="1">
      <alignment vertical="center"/>
    </xf>
    <xf numFmtId="9" fontId="4" fillId="4" borderId="32" xfId="2" applyFont="1" applyFill="1" applyBorder="1" applyAlignment="1">
      <alignment vertical="center"/>
    </xf>
    <xf numFmtId="9" fontId="4" fillId="4" borderId="33" xfId="2" applyFont="1" applyFill="1" applyBorder="1" applyAlignment="1">
      <alignment vertical="center"/>
    </xf>
    <xf numFmtId="9" fontId="4" fillId="4" borderId="34" xfId="2" applyFont="1" applyFill="1" applyBorder="1" applyAlignment="1">
      <alignment vertical="center"/>
    </xf>
    <xf numFmtId="164" fontId="4" fillId="4" borderId="11" xfId="5" applyFont="1" applyFill="1" applyBorder="1" applyAlignment="1">
      <alignment vertical="center"/>
    </xf>
    <xf numFmtId="165" fontId="4" fillId="4" borderId="36" xfId="2" applyNumberFormat="1" applyFont="1" applyFill="1" applyBorder="1" applyAlignment="1">
      <alignment vertical="center"/>
    </xf>
    <xf numFmtId="165" fontId="4" fillId="4" borderId="32" xfId="2" applyNumberFormat="1" applyFont="1" applyFill="1" applyBorder="1" applyAlignment="1">
      <alignment vertical="center"/>
    </xf>
    <xf numFmtId="164" fontId="4" fillId="4" borderId="37" xfId="5" applyFont="1" applyFill="1" applyBorder="1" applyAlignment="1">
      <alignment horizontal="center" vertical="center"/>
    </xf>
    <xf numFmtId="164" fontId="4" fillId="4" borderId="38" xfId="5" applyFont="1" applyFill="1" applyBorder="1" applyAlignment="1">
      <alignment horizontal="center" vertical="center"/>
    </xf>
    <xf numFmtId="165" fontId="3" fillId="4" borderId="39" xfId="2" applyNumberFormat="1" applyFont="1" applyFill="1" applyBorder="1" applyAlignment="1">
      <alignment vertical="center"/>
    </xf>
    <xf numFmtId="164" fontId="4" fillId="4" borderId="40" xfId="5" applyFont="1" applyFill="1" applyBorder="1" applyAlignment="1">
      <alignment horizontal="center" vertical="center"/>
    </xf>
    <xf numFmtId="165" fontId="4" fillId="4" borderId="39" xfId="2" applyNumberFormat="1" applyFont="1" applyFill="1" applyBorder="1" applyAlignment="1">
      <alignment vertical="center"/>
    </xf>
    <xf numFmtId="0" fontId="4" fillId="4" borderId="0" xfId="3" applyFont="1" applyFill="1" applyAlignment="1">
      <alignment horizontal="center" vertical="center"/>
    </xf>
    <xf numFmtId="165" fontId="4" fillId="4" borderId="10" xfId="2" applyNumberFormat="1" applyFont="1" applyFill="1" applyBorder="1" applyAlignment="1">
      <alignment horizontal="center" vertical="center"/>
    </xf>
    <xf numFmtId="165" fontId="4" fillId="4" borderId="36" xfId="2" applyNumberFormat="1" applyFont="1" applyFill="1" applyBorder="1" applyAlignment="1">
      <alignment horizontal="center" vertical="center"/>
    </xf>
    <xf numFmtId="165" fontId="4" fillId="4" borderId="43" xfId="2" applyNumberFormat="1" applyFont="1" applyFill="1" applyBorder="1" applyAlignment="1">
      <alignment horizontal="center" vertical="center"/>
    </xf>
    <xf numFmtId="0" fontId="3" fillId="5" borderId="0" xfId="3" applyFont="1" applyFill="1" applyAlignment="1">
      <alignment horizontal="right" vertical="center"/>
    </xf>
    <xf numFmtId="167" fontId="0" fillId="0" borderId="0" xfId="1" applyNumberFormat="1" applyFont="1" applyAlignment="1">
      <alignment horizontal="right"/>
    </xf>
    <xf numFmtId="0" fontId="3" fillId="0" borderId="23" xfId="3" applyFont="1" applyBorder="1" applyAlignment="1">
      <alignment horizontal="right" vertical="center"/>
    </xf>
    <xf numFmtId="164" fontId="3" fillId="0" borderId="9" xfId="5" applyFont="1" applyFill="1" applyBorder="1" applyAlignment="1">
      <alignment horizontal="right" vertical="center"/>
    </xf>
    <xf numFmtId="164" fontId="3" fillId="0" borderId="13" xfId="5" applyFont="1" applyFill="1" applyBorder="1" applyAlignment="1">
      <alignment horizontal="right" vertical="center"/>
    </xf>
    <xf numFmtId="164" fontId="12" fillId="3" borderId="64" xfId="5" applyFont="1" applyFill="1" applyBorder="1" applyAlignment="1">
      <alignment horizontal="right" vertical="center"/>
    </xf>
    <xf numFmtId="9" fontId="3" fillId="0" borderId="9" xfId="2" applyFont="1" applyFill="1" applyBorder="1" applyAlignment="1">
      <alignment horizontal="right" vertical="center"/>
    </xf>
    <xf numFmtId="9" fontId="3" fillId="0" borderId="13" xfId="2" applyFont="1" applyFill="1" applyBorder="1" applyAlignment="1">
      <alignment horizontal="right" vertical="center"/>
    </xf>
    <xf numFmtId="165" fontId="3" fillId="0" borderId="13" xfId="2" applyNumberFormat="1" applyFont="1" applyFill="1" applyBorder="1" applyAlignment="1">
      <alignment horizontal="right" vertical="center"/>
    </xf>
    <xf numFmtId="9" fontId="3" fillId="0" borderId="18" xfId="2" applyFont="1" applyFill="1" applyBorder="1" applyAlignment="1">
      <alignment horizontal="right" vertical="center"/>
    </xf>
    <xf numFmtId="0" fontId="4" fillId="0" borderId="0" xfId="3" applyFont="1" applyAlignment="1">
      <alignment horizontal="right" vertical="center"/>
    </xf>
    <xf numFmtId="165" fontId="3" fillId="0" borderId="9" xfId="2" applyNumberFormat="1" applyFont="1" applyFill="1" applyBorder="1" applyAlignment="1">
      <alignment horizontal="right" vertical="center"/>
    </xf>
    <xf numFmtId="165" fontId="3" fillId="0" borderId="18" xfId="2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4" borderId="67" xfId="3" applyFont="1" applyFill="1" applyBorder="1" applyAlignment="1">
      <alignment horizontal="center" vertical="center"/>
    </xf>
    <xf numFmtId="0" fontId="16" fillId="0" borderId="0" xfId="3" applyFont="1">
      <alignment vertical="center"/>
    </xf>
    <xf numFmtId="0" fontId="4" fillId="5" borderId="0" xfId="3" applyFont="1" applyFill="1">
      <alignment vertical="center"/>
    </xf>
    <xf numFmtId="0" fontId="17" fillId="5" borderId="0" xfId="0" applyFont="1" applyFill="1"/>
    <xf numFmtId="0" fontId="17" fillId="5" borderId="0" xfId="0" applyFont="1" applyFill="1" applyAlignment="1">
      <alignment horizontal="right"/>
    </xf>
    <xf numFmtId="164" fontId="8" fillId="0" borderId="75" xfId="4" applyFont="1" applyBorder="1">
      <alignment vertical="center"/>
    </xf>
    <xf numFmtId="164" fontId="3" fillId="2" borderId="20" xfId="4" applyFont="1" applyFill="1" applyBorder="1">
      <alignment vertical="center"/>
    </xf>
    <xf numFmtId="164" fontId="3" fillId="2" borderId="76" xfId="4" applyFont="1" applyFill="1" applyBorder="1">
      <alignment vertical="center"/>
    </xf>
    <xf numFmtId="164" fontId="3" fillId="2" borderId="21" xfId="4" applyFont="1" applyFill="1" applyBorder="1">
      <alignment vertical="center"/>
    </xf>
    <xf numFmtId="164" fontId="3" fillId="0" borderId="48" xfId="4" applyFont="1" applyFill="1" applyBorder="1">
      <alignment vertical="center"/>
    </xf>
    <xf numFmtId="164" fontId="3" fillId="0" borderId="77" xfId="4" applyFont="1" applyBorder="1">
      <alignment vertical="center"/>
    </xf>
    <xf numFmtId="164" fontId="3" fillId="2" borderId="78" xfId="4" applyFont="1" applyFill="1" applyBorder="1">
      <alignment vertical="center"/>
    </xf>
    <xf numFmtId="164" fontId="3" fillId="2" borderId="31" xfId="4" applyFont="1" applyFill="1" applyBorder="1">
      <alignment vertical="center"/>
    </xf>
    <xf numFmtId="164" fontId="3" fillId="2" borderId="42" xfId="4" applyFont="1" applyFill="1" applyBorder="1">
      <alignment vertical="center"/>
    </xf>
    <xf numFmtId="164" fontId="3" fillId="0" borderId="79" xfId="4" applyFont="1" applyBorder="1" applyAlignment="1">
      <alignment horizontal="left" vertical="center"/>
    </xf>
    <xf numFmtId="9" fontId="3" fillId="0" borderId="84" xfId="6" applyFont="1" applyBorder="1">
      <alignment vertical="center"/>
    </xf>
    <xf numFmtId="9" fontId="3" fillId="0" borderId="74" xfId="6" applyFont="1" applyBorder="1" applyAlignment="1">
      <alignment horizontal="center" vertical="center"/>
    </xf>
    <xf numFmtId="9" fontId="3" fillId="0" borderId="72" xfId="6" applyFont="1" applyBorder="1" applyAlignment="1">
      <alignment horizontal="center" vertical="center"/>
    </xf>
    <xf numFmtId="9" fontId="3" fillId="0" borderId="40" xfId="6" applyFont="1" applyBorder="1" applyAlignment="1">
      <alignment horizontal="center" vertical="center"/>
    </xf>
    <xf numFmtId="9" fontId="3" fillId="0" borderId="59" xfId="6" applyFont="1" applyBorder="1" applyAlignment="1">
      <alignment horizontal="center" vertical="center"/>
    </xf>
    <xf numFmtId="9" fontId="3" fillId="0" borderId="46" xfId="6" applyFont="1" applyBorder="1">
      <alignment vertical="center"/>
    </xf>
    <xf numFmtId="164" fontId="3" fillId="0" borderId="86" xfId="4" applyFont="1" applyBorder="1" applyAlignment="1">
      <alignment horizontal="left" vertical="center"/>
    </xf>
    <xf numFmtId="9" fontId="3" fillId="0" borderId="91" xfId="6" applyFont="1" applyBorder="1">
      <alignment vertical="center"/>
    </xf>
    <xf numFmtId="0" fontId="3" fillId="0" borderId="92" xfId="6" applyNumberFormat="1" applyFont="1" applyBorder="1" applyAlignment="1">
      <alignment horizontal="center" vertical="center"/>
    </xf>
    <xf numFmtId="0" fontId="3" fillId="5" borderId="73" xfId="3" applyFont="1" applyFill="1" applyBorder="1" applyAlignment="1">
      <alignment horizontal="center" vertical="center"/>
    </xf>
    <xf numFmtId="164" fontId="8" fillId="0" borderId="93" xfId="4" applyFont="1" applyBorder="1" applyAlignment="1">
      <alignment horizontal="left" vertical="center" wrapText="1"/>
    </xf>
    <xf numFmtId="164" fontId="8" fillId="0" borderId="95" xfId="4" applyFont="1" applyBorder="1">
      <alignment vertical="center"/>
    </xf>
    <xf numFmtId="164" fontId="8" fillId="0" borderId="97" xfId="4" applyFont="1" applyBorder="1">
      <alignment vertical="center"/>
    </xf>
    <xf numFmtId="164" fontId="8" fillId="0" borderId="98" xfId="4" applyFont="1" applyBorder="1">
      <alignment vertical="center"/>
    </xf>
    <xf numFmtId="164" fontId="3" fillId="2" borderId="74" xfId="4" applyFont="1" applyFill="1" applyBorder="1">
      <alignment vertical="center"/>
    </xf>
    <xf numFmtId="164" fontId="3" fillId="2" borderId="40" xfId="4" applyFont="1" applyFill="1" applyBorder="1">
      <alignment vertical="center"/>
    </xf>
    <xf numFmtId="164" fontId="3" fillId="2" borderId="59" xfId="4" applyFont="1" applyFill="1" applyBorder="1">
      <alignment vertical="center"/>
    </xf>
    <xf numFmtId="164" fontId="8" fillId="0" borderId="46" xfId="3" applyNumberFormat="1" applyFont="1" applyBorder="1">
      <alignment vertical="center"/>
    </xf>
    <xf numFmtId="164" fontId="3" fillId="0" borderId="100" xfId="3" applyNumberFormat="1" applyFont="1" applyBorder="1">
      <alignment vertical="center"/>
    </xf>
    <xf numFmtId="9" fontId="3" fillId="2" borderId="101" xfId="6" applyFont="1" applyFill="1" applyBorder="1" applyAlignment="1">
      <alignment horizontal="center" vertical="center"/>
    </xf>
    <xf numFmtId="9" fontId="3" fillId="0" borderId="103" xfId="6" applyFont="1" applyBorder="1">
      <alignment vertical="center"/>
    </xf>
    <xf numFmtId="0" fontId="3" fillId="0" borderId="102" xfId="3" applyFont="1" applyBorder="1">
      <alignment vertical="center"/>
    </xf>
    <xf numFmtId="9" fontId="3" fillId="2" borderId="104" xfId="6" applyFont="1" applyFill="1" applyBorder="1" applyAlignment="1">
      <alignment horizontal="center" vertical="center"/>
    </xf>
    <xf numFmtId="9" fontId="3" fillId="2" borderId="105" xfId="6" applyFont="1" applyFill="1" applyBorder="1" applyAlignment="1">
      <alignment horizontal="center" vertical="center"/>
    </xf>
    <xf numFmtId="164" fontId="3" fillId="2" borderId="94" xfId="4" applyFont="1" applyFill="1" applyBorder="1">
      <alignment vertical="center"/>
    </xf>
    <xf numFmtId="9" fontId="3" fillId="0" borderId="106" xfId="6" applyFont="1" applyBorder="1" applyAlignment="1">
      <alignment horizontal="center" vertical="center"/>
    </xf>
    <xf numFmtId="9" fontId="3" fillId="0" borderId="107" xfId="6" applyFont="1" applyBorder="1" applyAlignment="1">
      <alignment horizontal="center" vertical="center"/>
    </xf>
    <xf numFmtId="9" fontId="3" fillId="0" borderId="108" xfId="6" applyFont="1" applyBorder="1" applyAlignment="1">
      <alignment horizontal="center" vertical="center"/>
    </xf>
    <xf numFmtId="164" fontId="3" fillId="0" borderId="96" xfId="4" applyFont="1" applyBorder="1">
      <alignment vertical="center"/>
    </xf>
    <xf numFmtId="9" fontId="3" fillId="0" borderId="104" xfId="6" applyFont="1" applyBorder="1" applyAlignment="1">
      <alignment horizontal="center" vertical="center"/>
    </xf>
    <xf numFmtId="9" fontId="3" fillId="0" borderId="109" xfId="6" applyFont="1" applyBorder="1" applyAlignment="1">
      <alignment horizontal="center" vertical="center"/>
    </xf>
    <xf numFmtId="164" fontId="3" fillId="0" borderId="99" xfId="4" applyFont="1" applyBorder="1" applyAlignment="1">
      <alignment horizontal="left" vertical="center"/>
    </xf>
    <xf numFmtId="164" fontId="8" fillId="0" borderId="110" xfId="4" applyFont="1" applyBorder="1">
      <alignment vertical="center"/>
    </xf>
    <xf numFmtId="9" fontId="3" fillId="0" borderId="80" xfId="6" applyFont="1" applyBorder="1">
      <alignment vertical="center"/>
    </xf>
    <xf numFmtId="9" fontId="3" fillId="0" borderId="104" xfId="6" applyFont="1" applyBorder="1">
      <alignment vertical="center"/>
    </xf>
    <xf numFmtId="9" fontId="3" fillId="0" borderId="82" xfId="6" applyFont="1" applyBorder="1">
      <alignment vertical="center"/>
    </xf>
    <xf numFmtId="9" fontId="3" fillId="2" borderId="109" xfId="6" applyFont="1" applyFill="1" applyBorder="1" applyAlignment="1">
      <alignment horizontal="center" vertical="center"/>
    </xf>
    <xf numFmtId="164" fontId="3" fillId="0" borderId="111" xfId="4" applyFont="1" applyBorder="1">
      <alignment vertical="center"/>
    </xf>
    <xf numFmtId="164" fontId="8" fillId="0" borderId="112" xfId="4" applyFont="1" applyBorder="1">
      <alignment vertical="center"/>
    </xf>
    <xf numFmtId="164" fontId="4" fillId="0" borderId="5" xfId="4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15" xfId="3" applyFont="1" applyBorder="1" applyAlignment="1">
      <alignment horizontal="center" vertical="center"/>
    </xf>
    <xf numFmtId="164" fontId="4" fillId="0" borderId="3" xfId="4" applyFont="1" applyBorder="1" applyAlignment="1">
      <alignment horizontal="center" vertical="center"/>
    </xf>
    <xf numFmtId="0" fontId="3" fillId="6" borderId="29" xfId="3" applyFont="1" applyFill="1" applyBorder="1" applyAlignment="1">
      <alignment horizontal="center" vertical="center" wrapText="1"/>
    </xf>
    <xf numFmtId="0" fontId="3" fillId="6" borderId="19" xfId="3" applyFont="1" applyFill="1" applyBorder="1" applyAlignment="1">
      <alignment horizontal="center" vertical="center" wrapText="1"/>
    </xf>
    <xf numFmtId="0" fontId="3" fillId="6" borderId="43" xfId="3" applyFont="1" applyFill="1" applyBorder="1" applyAlignment="1">
      <alignment horizontal="center" vertical="center" wrapText="1"/>
    </xf>
    <xf numFmtId="0" fontId="3" fillId="6" borderId="45" xfId="3" applyFont="1" applyFill="1" applyBorder="1" applyAlignment="1">
      <alignment horizontal="center" vertical="center" wrapText="1"/>
    </xf>
    <xf numFmtId="0" fontId="3" fillId="6" borderId="41" xfId="3" applyFont="1" applyFill="1" applyBorder="1" applyAlignment="1">
      <alignment horizontal="center" vertical="center" wrapText="1"/>
    </xf>
    <xf numFmtId="164" fontId="4" fillId="5" borderId="9" xfId="5" applyFont="1" applyFill="1" applyBorder="1" applyAlignment="1">
      <alignment vertical="center"/>
    </xf>
    <xf numFmtId="164" fontId="3" fillId="0" borderId="64" xfId="5" applyFont="1" applyFill="1" applyBorder="1" applyAlignment="1">
      <alignment horizontal="right" vertical="center"/>
    </xf>
    <xf numFmtId="165" fontId="4" fillId="5" borderId="72" xfId="2" applyNumberFormat="1" applyFont="1" applyFill="1" applyBorder="1" applyAlignment="1">
      <alignment vertical="center"/>
    </xf>
    <xf numFmtId="165" fontId="4" fillId="5" borderId="33" xfId="2" applyNumberFormat="1" applyFont="1" applyFill="1" applyBorder="1" applyAlignment="1">
      <alignment vertical="center"/>
    </xf>
    <xf numFmtId="165" fontId="4" fillId="5" borderId="34" xfId="2" applyNumberFormat="1" applyFont="1" applyFill="1" applyBorder="1" applyAlignment="1">
      <alignment vertical="center"/>
    </xf>
    <xf numFmtId="165" fontId="4" fillId="4" borderId="72" xfId="2" applyNumberFormat="1" applyFont="1" applyFill="1" applyBorder="1" applyAlignment="1">
      <alignment vertical="center"/>
    </xf>
    <xf numFmtId="165" fontId="4" fillId="4" borderId="33" xfId="2" applyNumberFormat="1" applyFont="1" applyFill="1" applyBorder="1" applyAlignment="1">
      <alignment vertical="center"/>
    </xf>
    <xf numFmtId="165" fontId="4" fillId="4" borderId="34" xfId="2" applyNumberFormat="1" applyFont="1" applyFill="1" applyBorder="1" applyAlignment="1">
      <alignment vertical="center"/>
    </xf>
    <xf numFmtId="164" fontId="4" fillId="0" borderId="59" xfId="4" applyFont="1" applyFill="1" applyBorder="1" applyAlignment="1">
      <alignment horizontal="center" vertical="center" wrapText="1"/>
    </xf>
    <xf numFmtId="9" fontId="3" fillId="0" borderId="64" xfId="2" applyFont="1" applyFill="1" applyBorder="1" applyAlignment="1">
      <alignment horizontal="right" vertical="center"/>
    </xf>
    <xf numFmtId="165" fontId="3" fillId="0" borderId="64" xfId="2" applyNumberFormat="1" applyFont="1" applyFill="1" applyBorder="1" applyAlignment="1">
      <alignment horizontal="right" vertical="center"/>
    </xf>
    <xf numFmtId="164" fontId="4" fillId="0" borderId="120" xfId="4" applyFont="1" applyFill="1" applyBorder="1" applyAlignment="1">
      <alignment horizontal="center" vertical="center"/>
    </xf>
    <xf numFmtId="9" fontId="3" fillId="0" borderId="121" xfId="2" applyFont="1" applyFill="1" applyBorder="1" applyAlignment="1">
      <alignment horizontal="right" vertical="center"/>
    </xf>
    <xf numFmtId="165" fontId="3" fillId="0" borderId="121" xfId="2" applyNumberFormat="1" applyFont="1" applyFill="1" applyBorder="1" applyAlignment="1">
      <alignment horizontal="right" vertical="center"/>
    </xf>
    <xf numFmtId="164" fontId="4" fillId="0" borderId="59" xfId="4" applyFont="1" applyBorder="1" applyAlignment="1">
      <alignment horizontal="center" vertical="center"/>
    </xf>
    <xf numFmtId="164" fontId="4" fillId="0" borderId="122" xfId="4" applyFont="1" applyBorder="1" applyAlignment="1">
      <alignment horizontal="center" vertical="center"/>
    </xf>
    <xf numFmtId="9" fontId="3" fillId="0" borderId="123" xfId="2" applyFont="1" applyFill="1" applyBorder="1" applyAlignment="1">
      <alignment horizontal="right" vertical="center"/>
    </xf>
    <xf numFmtId="165" fontId="3" fillId="0" borderId="123" xfId="2" applyNumberFormat="1" applyFont="1" applyFill="1" applyBorder="1" applyAlignment="1">
      <alignment horizontal="right" vertical="center"/>
    </xf>
    <xf numFmtId="164" fontId="3" fillId="0" borderId="123" xfId="5" applyFont="1" applyFill="1" applyBorder="1" applyAlignment="1">
      <alignment horizontal="right" vertical="center"/>
    </xf>
    <xf numFmtId="164" fontId="3" fillId="0" borderId="121" xfId="5" applyFont="1" applyFill="1" applyBorder="1" applyAlignment="1">
      <alignment horizontal="right" vertical="center"/>
    </xf>
    <xf numFmtId="164" fontId="4" fillId="0" borderId="59" xfId="4" applyFont="1" applyFill="1" applyBorder="1" applyAlignment="1">
      <alignment horizontal="center" vertical="center"/>
    </xf>
    <xf numFmtId="164" fontId="12" fillId="4" borderId="31" xfId="5" applyFont="1" applyFill="1" applyBorder="1" applyAlignment="1">
      <alignment vertical="center"/>
    </xf>
    <xf numFmtId="43" fontId="4" fillId="0" borderId="0" xfId="3" applyNumberFormat="1" applyFont="1">
      <alignment vertical="center"/>
    </xf>
    <xf numFmtId="9" fontId="4" fillId="0" borderId="0" xfId="2" applyFont="1" applyAlignment="1">
      <alignment vertical="center"/>
    </xf>
    <xf numFmtId="164" fontId="4" fillId="5" borderId="30" xfId="5" applyFont="1" applyFill="1" applyBorder="1" applyAlignment="1">
      <alignment horizontal="center" vertical="center"/>
    </xf>
    <xf numFmtId="164" fontId="3" fillId="0" borderId="71" xfId="5" applyFont="1" applyFill="1" applyBorder="1" applyAlignment="1">
      <alignment horizontal="right" vertical="center"/>
    </xf>
    <xf numFmtId="164" fontId="3" fillId="0" borderId="124" xfId="5" applyFont="1" applyFill="1" applyBorder="1" applyAlignment="1">
      <alignment horizontal="right" vertical="center"/>
    </xf>
    <xf numFmtId="164" fontId="3" fillId="0" borderId="0" xfId="5" applyFont="1" applyFill="1" applyBorder="1" applyAlignment="1">
      <alignment horizontal="right" vertical="center"/>
    </xf>
    <xf numFmtId="165" fontId="3" fillId="0" borderId="124" xfId="2" applyNumberFormat="1" applyFont="1" applyFill="1" applyBorder="1" applyAlignment="1">
      <alignment horizontal="right" vertical="center"/>
    </xf>
    <xf numFmtId="9" fontId="3" fillId="0" borderId="70" xfId="2" applyFont="1" applyFill="1" applyBorder="1" applyAlignment="1">
      <alignment horizontal="right" vertical="center"/>
    </xf>
    <xf numFmtId="165" fontId="3" fillId="0" borderId="70" xfId="2" applyNumberFormat="1" applyFont="1" applyFill="1" applyBorder="1" applyAlignment="1">
      <alignment horizontal="right" vertical="center"/>
    </xf>
    <xf numFmtId="9" fontId="3" fillId="0" borderId="124" xfId="2" applyFont="1" applyFill="1" applyBorder="1" applyAlignment="1">
      <alignment horizontal="right" vertical="center"/>
    </xf>
    <xf numFmtId="164" fontId="4" fillId="4" borderId="30" xfId="5" applyFont="1" applyFill="1" applyBorder="1" applyAlignment="1">
      <alignment horizontal="center" vertical="center"/>
    </xf>
    <xf numFmtId="0" fontId="3" fillId="0" borderId="0" xfId="3" applyFont="1" applyAlignment="1">
      <alignment horizontal="right" vertical="center"/>
    </xf>
    <xf numFmtId="165" fontId="8" fillId="0" borderId="82" xfId="6" applyNumberFormat="1" applyFont="1" applyBorder="1" applyAlignment="1">
      <alignment horizontal="center" vertical="center"/>
    </xf>
    <xf numFmtId="165" fontId="4" fillId="5" borderId="27" xfId="2" applyNumberFormat="1" applyFont="1" applyFill="1" applyBorder="1" applyAlignment="1">
      <alignment vertical="center"/>
    </xf>
    <xf numFmtId="165" fontId="4" fillId="5" borderId="28" xfId="2" applyNumberFormat="1" applyFont="1" applyFill="1" applyBorder="1" applyAlignment="1">
      <alignment vertical="center"/>
    </xf>
    <xf numFmtId="165" fontId="4" fillId="5" borderId="61" xfId="2" applyNumberFormat="1" applyFont="1" applyFill="1" applyBorder="1" applyAlignment="1">
      <alignment vertical="center"/>
    </xf>
    <xf numFmtId="165" fontId="4" fillId="5" borderId="30" xfId="2" applyNumberFormat="1" applyFont="1" applyFill="1" applyBorder="1" applyAlignment="1">
      <alignment vertical="center"/>
    </xf>
    <xf numFmtId="165" fontId="4" fillId="4" borderId="27" xfId="2" applyNumberFormat="1" applyFont="1" applyFill="1" applyBorder="1" applyAlignment="1">
      <alignment vertical="center"/>
    </xf>
    <xf numFmtId="165" fontId="4" fillId="4" borderId="28" xfId="2" applyNumberFormat="1" applyFont="1" applyFill="1" applyBorder="1" applyAlignment="1">
      <alignment vertical="center"/>
    </xf>
    <xf numFmtId="165" fontId="4" fillId="4" borderId="61" xfId="2" applyNumberFormat="1" applyFont="1" applyFill="1" applyBorder="1" applyAlignment="1">
      <alignment vertical="center"/>
    </xf>
    <xf numFmtId="165" fontId="4" fillId="4" borderId="30" xfId="2" applyNumberFormat="1" applyFont="1" applyFill="1" applyBorder="1" applyAlignment="1">
      <alignment vertical="center"/>
    </xf>
    <xf numFmtId="164" fontId="4" fillId="0" borderId="0" xfId="3" applyNumberFormat="1" applyFont="1">
      <alignment vertical="center"/>
    </xf>
    <xf numFmtId="165" fontId="4" fillId="0" borderId="0" xfId="2" applyNumberFormat="1" applyFont="1" applyAlignment="1">
      <alignment vertical="center"/>
    </xf>
    <xf numFmtId="164" fontId="8" fillId="3" borderId="64" xfId="5" applyFont="1" applyFill="1" applyBorder="1" applyAlignment="1">
      <alignment horizontal="right" vertical="center"/>
    </xf>
    <xf numFmtId="165" fontId="3" fillId="0" borderId="0" xfId="2" applyNumberFormat="1" applyFont="1" applyFill="1" applyAlignment="1">
      <alignment vertical="center"/>
    </xf>
    <xf numFmtId="164" fontId="4" fillId="0" borderId="42" xfId="4" applyFont="1" applyBorder="1" applyAlignment="1">
      <alignment horizontal="center" vertical="center"/>
    </xf>
    <xf numFmtId="164" fontId="3" fillId="0" borderId="35" xfId="5" applyFont="1" applyFill="1" applyBorder="1" applyAlignment="1">
      <alignment horizontal="right" vertical="center"/>
    </xf>
    <xf numFmtId="164" fontId="4" fillId="5" borderId="49" xfId="5" applyFont="1" applyFill="1" applyBorder="1" applyAlignment="1">
      <alignment vertical="center"/>
    </xf>
    <xf numFmtId="164" fontId="4" fillId="4" borderId="49" xfId="5" applyFont="1" applyFill="1" applyBorder="1" applyAlignment="1">
      <alignment vertical="center"/>
    </xf>
    <xf numFmtId="164" fontId="4" fillId="5" borderId="107" xfId="5" applyFont="1" applyFill="1" applyBorder="1" applyAlignment="1">
      <alignment horizontal="center" vertical="center"/>
    </xf>
    <xf numFmtId="164" fontId="4" fillId="4" borderId="107" xfId="5" applyFont="1" applyFill="1" applyBorder="1" applyAlignment="1">
      <alignment horizontal="center" vertical="center"/>
    </xf>
    <xf numFmtId="164" fontId="10" fillId="0" borderId="26" xfId="4" applyFont="1" applyBorder="1" applyAlignment="1">
      <alignment horizontal="center" vertical="center"/>
    </xf>
    <xf numFmtId="164" fontId="10" fillId="0" borderId="12" xfId="4" applyFont="1" applyBorder="1" applyAlignment="1">
      <alignment horizontal="center" vertical="center"/>
    </xf>
    <xf numFmtId="164" fontId="10" fillId="0" borderId="26" xfId="4" applyFont="1" applyFill="1" applyBorder="1" applyAlignment="1">
      <alignment horizontal="center" vertical="center"/>
    </xf>
    <xf numFmtId="164" fontId="3" fillId="0" borderId="125" xfId="5" applyFont="1" applyFill="1" applyBorder="1" applyAlignment="1">
      <alignment horizontal="right" vertical="center"/>
    </xf>
    <xf numFmtId="164" fontId="4" fillId="5" borderId="39" xfId="5" applyFont="1" applyFill="1" applyBorder="1" applyAlignment="1">
      <alignment vertical="center"/>
    </xf>
    <xf numFmtId="164" fontId="4" fillId="0" borderId="126" xfId="4" applyFont="1" applyBorder="1" applyAlignment="1">
      <alignment horizontal="center" vertical="center"/>
    </xf>
    <xf numFmtId="164" fontId="4" fillId="5" borderId="19" xfId="5" applyFont="1" applyFill="1" applyBorder="1" applyAlignment="1">
      <alignment vertical="center"/>
    </xf>
    <xf numFmtId="164" fontId="3" fillId="0" borderId="66" xfId="5" applyFont="1" applyFill="1" applyBorder="1" applyAlignment="1">
      <alignment horizontal="right" vertical="center"/>
    </xf>
    <xf numFmtId="0" fontId="3" fillId="4" borderId="73" xfId="3" applyFont="1" applyFill="1" applyBorder="1" applyAlignment="1">
      <alignment horizontal="center" vertical="center"/>
    </xf>
    <xf numFmtId="43" fontId="3" fillId="0" borderId="0" xfId="1" applyFont="1" applyAlignment="1">
      <alignment vertical="center"/>
    </xf>
    <xf numFmtId="164" fontId="12" fillId="3" borderId="31" xfId="5" applyFont="1" applyFill="1" applyBorder="1" applyAlignment="1">
      <alignment vertical="center"/>
    </xf>
    <xf numFmtId="164" fontId="12" fillId="5" borderId="31" xfId="5" applyFont="1" applyFill="1" applyBorder="1" applyAlignment="1">
      <alignment vertical="center"/>
    </xf>
    <xf numFmtId="0" fontId="18" fillId="0" borderId="0" xfId="3" applyFont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71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70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14" fontId="3" fillId="0" borderId="7" xfId="3" applyNumberFormat="1" applyFont="1" applyBorder="1" applyAlignment="1">
      <alignment horizontal="center" vertical="center"/>
    </xf>
    <xf numFmtId="14" fontId="3" fillId="0" borderId="70" xfId="3" applyNumberFormat="1" applyFont="1" applyBorder="1" applyAlignment="1">
      <alignment horizontal="center" vertical="center"/>
    </xf>
    <xf numFmtId="14" fontId="3" fillId="0" borderId="8" xfId="3" applyNumberFormat="1" applyFont="1" applyBorder="1" applyAlignment="1">
      <alignment horizontal="center" vertical="center"/>
    </xf>
    <xf numFmtId="0" fontId="3" fillId="0" borderId="16" xfId="3" applyFont="1" applyBorder="1" applyAlignment="1">
      <alignment horizontal="center" vertical="center"/>
    </xf>
    <xf numFmtId="0" fontId="3" fillId="0" borderId="69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14" fontId="3" fillId="0" borderId="16" xfId="3" applyNumberFormat="1" applyFont="1" applyBorder="1" applyAlignment="1">
      <alignment horizontal="center" vertical="center"/>
    </xf>
    <xf numFmtId="14" fontId="3" fillId="0" borderId="69" xfId="3" applyNumberFormat="1" applyFont="1" applyBorder="1" applyAlignment="1">
      <alignment horizontal="center" vertical="center"/>
    </xf>
    <xf numFmtId="14" fontId="3" fillId="0" borderId="17" xfId="3" applyNumberFormat="1" applyFont="1" applyBorder="1" applyAlignment="1">
      <alignment horizontal="center" vertical="center"/>
    </xf>
    <xf numFmtId="0" fontId="3" fillId="0" borderId="0" xfId="3" applyFont="1" applyAlignment="1">
      <alignment horizontal="right" vertical="center"/>
    </xf>
    <xf numFmtId="0" fontId="3" fillId="6" borderId="24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29" xfId="3" applyFont="1" applyFill="1" applyBorder="1" applyAlignment="1">
      <alignment horizontal="center" vertical="center"/>
    </xf>
    <xf numFmtId="0" fontId="3" fillId="6" borderId="41" xfId="3" applyFont="1" applyFill="1" applyBorder="1" applyAlignment="1">
      <alignment horizontal="center" vertical="center"/>
    </xf>
    <xf numFmtId="0" fontId="3" fillId="6" borderId="4" xfId="3" applyFont="1" applyFill="1" applyBorder="1" applyAlignment="1">
      <alignment horizontal="center" vertical="center" wrapText="1"/>
    </xf>
    <xf numFmtId="0" fontId="3" fillId="6" borderId="10" xfId="3" applyFont="1" applyFill="1" applyBorder="1" applyAlignment="1">
      <alignment horizontal="center" vertical="center" wrapText="1"/>
    </xf>
    <xf numFmtId="0" fontId="3" fillId="6" borderId="44" xfId="3" applyFont="1" applyFill="1" applyBorder="1" applyAlignment="1">
      <alignment horizontal="center" vertical="center" wrapText="1"/>
    </xf>
    <xf numFmtId="0" fontId="3" fillId="6" borderId="76" xfId="3" applyFont="1" applyFill="1" applyBorder="1" applyAlignment="1">
      <alignment horizontal="center" vertical="center" wrapText="1"/>
    </xf>
    <xf numFmtId="0" fontId="3" fillId="6" borderId="116" xfId="3" applyFont="1" applyFill="1" applyBorder="1" applyAlignment="1">
      <alignment horizontal="center" vertical="center" wrapText="1"/>
    </xf>
    <xf numFmtId="0" fontId="3" fillId="6" borderId="11" xfId="3" applyFont="1" applyFill="1" applyBorder="1" applyAlignment="1">
      <alignment horizontal="center" vertical="center"/>
    </xf>
    <xf numFmtId="0" fontId="3" fillId="6" borderId="44" xfId="3" applyFont="1" applyFill="1" applyBorder="1" applyAlignment="1">
      <alignment horizontal="center" vertical="center"/>
    </xf>
    <xf numFmtId="0" fontId="3" fillId="6" borderId="71" xfId="3" applyFont="1" applyFill="1" applyBorder="1" applyAlignment="1">
      <alignment horizontal="center" vertical="center"/>
    </xf>
    <xf numFmtId="0" fontId="3" fillId="6" borderId="10" xfId="3" applyFont="1" applyFill="1" applyBorder="1" applyAlignment="1">
      <alignment horizontal="center" vertical="center"/>
    </xf>
    <xf numFmtId="0" fontId="3" fillId="6" borderId="22" xfId="3" applyFont="1" applyFill="1" applyBorder="1" applyAlignment="1">
      <alignment horizontal="center" vertical="center"/>
    </xf>
    <xf numFmtId="0" fontId="3" fillId="6" borderId="21" xfId="3" applyFont="1" applyFill="1" applyBorder="1" applyAlignment="1">
      <alignment horizontal="center" vertical="center"/>
    </xf>
    <xf numFmtId="0" fontId="3" fillId="6" borderId="5" xfId="3" applyFont="1" applyFill="1" applyBorder="1" applyAlignment="1">
      <alignment horizontal="center" vertical="center"/>
    </xf>
    <xf numFmtId="0" fontId="3" fillId="6" borderId="46" xfId="3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14" xfId="3" applyFont="1" applyBorder="1" applyAlignment="1">
      <alignment horizontal="center" vertical="center" wrapText="1"/>
    </xf>
    <xf numFmtId="0" fontId="3" fillId="0" borderId="87" xfId="6" applyNumberFormat="1" applyFont="1" applyBorder="1" applyAlignment="1">
      <alignment horizontal="center" vertical="center"/>
    </xf>
    <xf numFmtId="0" fontId="3" fillId="0" borderId="88" xfId="6" applyNumberFormat="1" applyFont="1" applyBorder="1" applyAlignment="1">
      <alignment horizontal="center" vertical="center"/>
    </xf>
    <xf numFmtId="0" fontId="3" fillId="0" borderId="90" xfId="6" applyNumberFormat="1" applyFont="1" applyBorder="1" applyAlignment="1">
      <alignment horizontal="center" vertical="center"/>
    </xf>
    <xf numFmtId="0" fontId="3" fillId="0" borderId="89" xfId="6" applyNumberFormat="1" applyFont="1" applyBorder="1" applyAlignment="1">
      <alignment horizontal="center" vertical="center"/>
    </xf>
    <xf numFmtId="0" fontId="3" fillId="0" borderId="91" xfId="6" applyNumberFormat="1" applyFont="1" applyBorder="1" applyAlignment="1">
      <alignment horizontal="center" vertical="center"/>
    </xf>
    <xf numFmtId="0" fontId="3" fillId="2" borderId="87" xfId="6" applyNumberFormat="1" applyFont="1" applyFill="1" applyBorder="1" applyAlignment="1">
      <alignment horizontal="center" vertical="center"/>
    </xf>
    <xf numFmtId="0" fontId="3" fillId="2" borderId="89" xfId="6" applyNumberFormat="1" applyFont="1" applyFill="1" applyBorder="1" applyAlignment="1">
      <alignment horizontal="center" vertical="center"/>
    </xf>
    <xf numFmtId="0" fontId="3" fillId="2" borderId="91" xfId="6" applyNumberFormat="1" applyFont="1" applyFill="1" applyBorder="1" applyAlignment="1">
      <alignment horizontal="center" vertical="center"/>
    </xf>
    <xf numFmtId="165" fontId="8" fillId="0" borderId="85" xfId="6" applyNumberFormat="1" applyFont="1" applyBorder="1" applyAlignment="1">
      <alignment horizontal="center" vertical="center"/>
    </xf>
    <xf numFmtId="165" fontId="8" fillId="0" borderId="80" xfId="6" applyNumberFormat="1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 wrapText="1"/>
    </xf>
    <xf numFmtId="0" fontId="3" fillId="0" borderId="47" xfId="3" applyFont="1" applyBorder="1" applyAlignment="1">
      <alignment horizontal="center" vertical="center" wrapText="1"/>
    </xf>
    <xf numFmtId="165" fontId="8" fillId="0" borderId="82" xfId="6" applyNumberFormat="1" applyFont="1" applyBorder="1" applyAlignment="1">
      <alignment horizontal="center" vertical="center"/>
    </xf>
    <xf numFmtId="165" fontId="8" fillId="0" borderId="81" xfId="6" applyNumberFormat="1" applyFont="1" applyBorder="1" applyAlignment="1">
      <alignment horizontal="center" vertical="center"/>
    </xf>
    <xf numFmtId="165" fontId="3" fillId="3" borderId="119" xfId="6" applyNumberFormat="1" applyFont="1" applyFill="1" applyBorder="1" applyAlignment="1">
      <alignment horizontal="center" vertical="center"/>
    </xf>
    <xf numFmtId="165" fontId="3" fillId="3" borderId="81" xfId="6" applyNumberFormat="1" applyFont="1" applyFill="1" applyBorder="1" applyAlignment="1">
      <alignment horizontal="center" vertical="center"/>
    </xf>
    <xf numFmtId="165" fontId="3" fillId="3" borderId="83" xfId="6" applyNumberFormat="1" applyFont="1" applyFill="1" applyBorder="1" applyAlignment="1">
      <alignment horizontal="center" vertical="center"/>
    </xf>
    <xf numFmtId="0" fontId="3" fillId="0" borderId="40" xfId="3" applyFont="1" applyBorder="1" applyAlignment="1">
      <alignment horizontal="center" vertical="center" wrapText="1"/>
    </xf>
    <xf numFmtId="0" fontId="3" fillId="0" borderId="116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73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117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4" fillId="0" borderId="118" xfId="3" applyFont="1" applyBorder="1" applyAlignment="1">
      <alignment horizontal="center" vertical="center" wrapText="1"/>
    </xf>
    <xf numFmtId="0" fontId="3" fillId="0" borderId="20" xfId="3" applyFont="1" applyBorder="1" applyAlignment="1">
      <alignment horizontal="center" vertical="center"/>
    </xf>
    <xf numFmtId="0" fontId="3" fillId="0" borderId="47" xfId="3" applyFont="1" applyBorder="1" applyAlignment="1">
      <alignment horizontal="center" vertical="center"/>
    </xf>
    <xf numFmtId="0" fontId="3" fillId="0" borderId="60" xfId="3" applyFont="1" applyBorder="1" applyAlignment="1">
      <alignment horizontal="center" vertical="center"/>
    </xf>
    <xf numFmtId="0" fontId="14" fillId="5" borderId="40" xfId="3" applyFont="1" applyFill="1" applyBorder="1" applyAlignment="1">
      <alignment horizontal="center" vertical="center"/>
    </xf>
    <xf numFmtId="0" fontId="14" fillId="5" borderId="107" xfId="3" applyFont="1" applyFill="1" applyBorder="1" applyAlignment="1">
      <alignment horizontal="center" vertical="center"/>
    </xf>
    <xf numFmtId="0" fontId="14" fillId="5" borderId="31" xfId="3" applyFont="1" applyFill="1" applyBorder="1" applyAlignment="1">
      <alignment horizontal="center" vertical="center"/>
    </xf>
    <xf numFmtId="0" fontId="3" fillId="5" borderId="48" xfId="3" applyFont="1" applyFill="1" applyBorder="1" applyAlignment="1">
      <alignment horizontal="center" vertical="center"/>
    </xf>
    <xf numFmtId="0" fontId="3" fillId="5" borderId="36" xfId="3" applyFont="1" applyFill="1" applyBorder="1" applyAlignment="1">
      <alignment horizontal="center" vertical="center"/>
    </xf>
    <xf numFmtId="0" fontId="9" fillId="5" borderId="48" xfId="3" applyFont="1" applyFill="1" applyBorder="1" applyAlignment="1">
      <alignment horizontal="center" vertical="center"/>
    </xf>
    <xf numFmtId="0" fontId="9" fillId="5" borderId="36" xfId="3" applyFont="1" applyFill="1" applyBorder="1" applyAlignment="1">
      <alignment horizontal="center" vertical="center"/>
    </xf>
    <xf numFmtId="0" fontId="9" fillId="5" borderId="48" xfId="3" applyFont="1" applyFill="1" applyBorder="1" applyAlignment="1">
      <alignment horizontal="left" vertical="center"/>
    </xf>
    <xf numFmtId="0" fontId="9" fillId="5" borderId="70" xfId="3" applyFont="1" applyFill="1" applyBorder="1" applyAlignment="1">
      <alignment horizontal="left" vertical="center"/>
    </xf>
    <xf numFmtId="0" fontId="9" fillId="5" borderId="36" xfId="3" applyFont="1" applyFill="1" applyBorder="1" applyAlignment="1">
      <alignment horizontal="left" vertical="center"/>
    </xf>
    <xf numFmtId="164" fontId="13" fillId="5" borderId="48" xfId="4" applyFont="1" applyFill="1" applyBorder="1" applyAlignment="1">
      <alignment horizontal="center" vertical="center"/>
    </xf>
    <xf numFmtId="164" fontId="13" fillId="5" borderId="36" xfId="4" applyFont="1" applyFill="1" applyBorder="1" applyAlignment="1">
      <alignment horizontal="center" vertical="center"/>
    </xf>
    <xf numFmtId="0" fontId="3" fillId="0" borderId="76" xfId="3" applyFont="1" applyBorder="1" applyAlignment="1">
      <alignment horizontal="center" vertical="center"/>
    </xf>
    <xf numFmtId="0" fontId="3" fillId="0" borderId="107" xfId="3" applyFont="1" applyBorder="1" applyAlignment="1">
      <alignment horizontal="center" vertical="center"/>
    </xf>
    <xf numFmtId="0" fontId="3" fillId="0" borderId="116" xfId="3" applyFont="1" applyBorder="1" applyAlignment="1">
      <alignment horizontal="center" vertical="center"/>
    </xf>
    <xf numFmtId="14" fontId="3" fillId="0" borderId="48" xfId="3" applyNumberFormat="1" applyFont="1" applyBorder="1" applyAlignment="1">
      <alignment horizontal="center" vertical="center"/>
    </xf>
    <xf numFmtId="14" fontId="3" fillId="0" borderId="36" xfId="3" applyNumberFormat="1" applyFont="1" applyBorder="1" applyAlignment="1">
      <alignment horizontal="center" vertical="center"/>
    </xf>
    <xf numFmtId="0" fontId="19" fillId="5" borderId="0" xfId="3" applyFont="1" applyFill="1" applyAlignment="1">
      <alignment horizontal="center" vertical="center"/>
    </xf>
    <xf numFmtId="0" fontId="3" fillId="0" borderId="114" xfId="3" applyFont="1" applyBorder="1" applyAlignment="1">
      <alignment horizontal="center" vertical="center"/>
    </xf>
    <xf numFmtId="0" fontId="3" fillId="0" borderId="115" xfId="3" applyFont="1" applyBorder="1" applyAlignment="1">
      <alignment horizontal="center" vertical="center"/>
    </xf>
    <xf numFmtId="0" fontId="3" fillId="0" borderId="113" xfId="3" applyFont="1" applyBorder="1" applyAlignment="1">
      <alignment horizontal="center" vertical="center"/>
    </xf>
    <xf numFmtId="164" fontId="11" fillId="3" borderId="48" xfId="4" quotePrefix="1" applyFont="1" applyFill="1" applyBorder="1" applyAlignment="1">
      <alignment horizontal="center" vertical="center"/>
    </xf>
    <xf numFmtId="164" fontId="11" fillId="3" borderId="8" xfId="4" quotePrefix="1" applyFont="1" applyFill="1" applyBorder="1" applyAlignment="1">
      <alignment horizontal="center" vertical="center"/>
    </xf>
    <xf numFmtId="0" fontId="3" fillId="6" borderId="71" xfId="3" applyFont="1" applyFill="1" applyBorder="1" applyAlignment="1">
      <alignment horizontal="center" vertical="center" wrapText="1"/>
    </xf>
    <xf numFmtId="0" fontId="3" fillId="6" borderId="22" xfId="3" applyFont="1" applyFill="1" applyBorder="1" applyAlignment="1">
      <alignment horizontal="center" vertical="center" wrapText="1"/>
    </xf>
    <xf numFmtId="0" fontId="3" fillId="6" borderId="2" xfId="3" applyFont="1" applyFill="1" applyBorder="1" applyAlignment="1">
      <alignment horizontal="center" vertical="center" wrapText="1"/>
    </xf>
    <xf numFmtId="0" fontId="3" fillId="6" borderId="73" xfId="3" applyFont="1" applyFill="1" applyBorder="1" applyAlignment="1">
      <alignment horizontal="center" vertical="center" wrapText="1"/>
    </xf>
    <xf numFmtId="164" fontId="3" fillId="0" borderId="89" xfId="6" applyNumberFormat="1" applyFont="1" applyBorder="1" applyAlignment="1">
      <alignment horizontal="center" vertical="center"/>
    </xf>
  </cellXfs>
  <cellStyles count="11">
    <cellStyle name="Comma" xfId="1" builtinId="3"/>
    <cellStyle name="Comma [0] 2" xfId="4"/>
    <cellStyle name="Comma [0] 3" xfId="5"/>
    <cellStyle name="Comma [0] 8" xfId="10"/>
    <cellStyle name="Comma 16" xfId="8"/>
    <cellStyle name="Normal" xfId="0" builtinId="0"/>
    <cellStyle name="Normal 2" xfId="3"/>
    <cellStyle name="Normal 2 3" xfId="9"/>
    <cellStyle name="Normal 3" xfId="7"/>
    <cellStyle name="Percent" xfId="2" builtinId="5"/>
    <cellStyle name="Percent 2" xfId="6"/>
  </cellStyles>
  <dxfs count="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tyles" Target="style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externalLink" Target="externalLinks/externalLink1.xml"/><Relationship Id="rId179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externalLink" Target="externalLinks/externalLink2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353786</xdr:colOff>
      <xdr:row>0</xdr:row>
      <xdr:rowOff>74437</xdr:rowOff>
    </xdr:from>
    <xdr:to>
      <xdr:col>26</xdr:col>
      <xdr:colOff>208110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88911" y="74437"/>
          <a:ext cx="2711824" cy="868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353786</xdr:colOff>
      <xdr:row>0</xdr:row>
      <xdr:rowOff>74437</xdr:rowOff>
    </xdr:from>
    <xdr:to>
      <xdr:col>28</xdr:col>
      <xdr:colOff>208110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99FF6-6A0E-406E-A3E5-3F3698099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3361" y="74437"/>
          <a:ext cx="2711824" cy="8685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o%20cao\2023\Ch&#7845;m%20c&#244;ng%20T2.2023\Bang%20cham%20cong%20TV%20T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o%20cao\2023\Ch&#7845;m%20c&#244;ng%20T1.2023\01%20&#50900;%20&#51204;&#52404;%20&#51649;&#50896;%20%20&#44553;&#506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ost"/>
      <sheetName val="Sheet2"/>
    </sheetNames>
    <sheetDataSet>
      <sheetData sheetId="0">
        <row r="1">
          <cell r="AK1">
            <v>76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건비 현황"/>
      <sheetName val="종합 급여 현황"/>
      <sheetName val="Luong hang ngay"/>
      <sheetName val="Attendance list"/>
      <sheetName val="Sheet1"/>
      <sheetName val="Tỷ lệ bhxh"/>
      <sheetName val="Luong"/>
      <sheetName val="ML"/>
      <sheetName val="an toàn và pccc"/>
      <sheetName val="Sheet2"/>
      <sheetName val="Thuế TNCN "/>
      <sheetName val="TCS"/>
    </sheetNames>
    <sheetDataSet>
      <sheetData sheetId="0"/>
      <sheetData sheetId="1"/>
      <sheetData sheetId="2"/>
      <sheetData sheetId="3">
        <row r="1">
          <cell r="HO1">
            <v>1054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C1:AS49"/>
  <sheetViews>
    <sheetView showGridLines="0" zoomScale="70" zoomScaleNormal="70" workbookViewId="0">
      <selection activeCell="M25" sqref="M25"/>
    </sheetView>
  </sheetViews>
  <sheetFormatPr defaultColWidth="9" defaultRowHeight="14.6"/>
  <cols>
    <col min="1" max="1" width="2.15234375" style="1" customWidth="1"/>
    <col min="2" max="2" width="1.15234375" style="1" customWidth="1"/>
    <col min="3" max="3" width="13.3046875" style="1" customWidth="1"/>
    <col min="4" max="4" width="21" style="1" customWidth="1"/>
    <col min="5" max="22" width="9.84375" style="1" customWidth="1"/>
    <col min="23" max="27" width="10.69140625" style="1" customWidth="1"/>
    <col min="28" max="28" width="5" style="1" customWidth="1"/>
    <col min="29" max="33" width="9" style="1"/>
    <col min="34" max="34" width="20.3828125" style="1" customWidth="1"/>
    <col min="35" max="16384" width="9" style="1"/>
  </cols>
  <sheetData>
    <row r="1" spans="3:45" ht="6" customHeight="1" thickBot="1"/>
    <row r="2" spans="3:45" ht="22.5" customHeight="1">
      <c r="C2" s="264" t="s">
        <v>15</v>
      </c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5" t="s">
        <v>0</v>
      </c>
      <c r="R2" s="266"/>
      <c r="S2" s="267"/>
      <c r="T2" s="265" t="s">
        <v>1</v>
      </c>
      <c r="U2" s="266"/>
      <c r="V2" s="267"/>
    </row>
    <row r="3" spans="3:45" ht="15" customHeight="1"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8" t="s">
        <v>2</v>
      </c>
      <c r="R3" s="269"/>
      <c r="S3" s="270"/>
      <c r="T3" s="268" t="s">
        <v>33</v>
      </c>
      <c r="U3" s="269"/>
      <c r="V3" s="270"/>
    </row>
    <row r="4" spans="3:45" ht="15" customHeight="1"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8" t="s">
        <v>5</v>
      </c>
      <c r="R4" s="269"/>
      <c r="S4" s="270"/>
      <c r="T4" s="271">
        <v>45514</v>
      </c>
      <c r="U4" s="272"/>
      <c r="V4" s="273"/>
    </row>
    <row r="5" spans="3:45" ht="15.75" customHeight="1" thickBot="1"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74" t="s">
        <v>6</v>
      </c>
      <c r="R5" s="275"/>
      <c r="S5" s="276"/>
      <c r="T5" s="277">
        <v>45514</v>
      </c>
      <c r="U5" s="278"/>
      <c r="V5" s="279"/>
    </row>
    <row r="6" spans="3:45">
      <c r="T6" s="87"/>
      <c r="U6" s="87"/>
    </row>
    <row r="7" spans="3:45">
      <c r="C7" s="1" t="s">
        <v>68</v>
      </c>
      <c r="X7" s="280" t="s">
        <v>16</v>
      </c>
      <c r="Y7" s="280"/>
      <c r="Z7" s="280"/>
    </row>
    <row r="8" spans="3:45" ht="4.5" customHeight="1" thickBot="1"/>
    <row r="9" spans="3:45" ht="31.5" customHeight="1">
      <c r="C9" s="281" t="s">
        <v>17</v>
      </c>
      <c r="D9" s="282"/>
      <c r="E9" s="285" t="s">
        <v>59</v>
      </c>
      <c r="F9" s="286"/>
      <c r="G9" s="287" t="s">
        <v>60</v>
      </c>
      <c r="H9" s="286"/>
      <c r="I9" s="288" t="s">
        <v>32</v>
      </c>
      <c r="J9" s="290" t="s">
        <v>64</v>
      </c>
      <c r="K9" s="290"/>
      <c r="L9" s="290"/>
      <c r="M9" s="290"/>
      <c r="N9" s="290" t="s">
        <v>63</v>
      </c>
      <c r="O9" s="290"/>
      <c r="P9" s="290"/>
      <c r="Q9" s="290" t="s">
        <v>62</v>
      </c>
      <c r="R9" s="290"/>
      <c r="S9" s="290"/>
      <c r="T9" s="291" t="s">
        <v>61</v>
      </c>
      <c r="U9" s="292"/>
      <c r="V9" s="293"/>
      <c r="W9" s="293" t="s">
        <v>18</v>
      </c>
      <c r="X9" s="290"/>
      <c r="Y9" s="294"/>
      <c r="Z9" s="295"/>
      <c r="AA9" s="296" t="s">
        <v>19</v>
      </c>
    </row>
    <row r="10" spans="3:45" ht="31.5" customHeight="1" thickBot="1">
      <c r="C10" s="283"/>
      <c r="D10" s="284"/>
      <c r="E10" s="194" t="s">
        <v>38</v>
      </c>
      <c r="F10" s="195" t="s">
        <v>21</v>
      </c>
      <c r="G10" s="195" t="s">
        <v>38</v>
      </c>
      <c r="H10" s="195" t="s">
        <v>21</v>
      </c>
      <c r="I10" s="289"/>
      <c r="J10" s="195" t="s">
        <v>38</v>
      </c>
      <c r="K10" s="195" t="s">
        <v>21</v>
      </c>
      <c r="L10" s="195" t="s">
        <v>31</v>
      </c>
      <c r="M10" s="195" t="s">
        <v>20</v>
      </c>
      <c r="N10" s="196" t="s">
        <v>38</v>
      </c>
      <c r="O10" s="195" t="s">
        <v>21</v>
      </c>
      <c r="P10" s="195" t="s">
        <v>20</v>
      </c>
      <c r="Q10" s="195" t="s">
        <v>38</v>
      </c>
      <c r="R10" s="195" t="s">
        <v>21</v>
      </c>
      <c r="S10" s="195" t="s">
        <v>20</v>
      </c>
      <c r="T10" s="195" t="s">
        <v>38</v>
      </c>
      <c r="U10" s="195" t="s">
        <v>21</v>
      </c>
      <c r="V10" s="195" t="s">
        <v>20</v>
      </c>
      <c r="W10" s="196" t="s">
        <v>38</v>
      </c>
      <c r="X10" s="197" t="s">
        <v>21</v>
      </c>
      <c r="Y10" s="197" t="s">
        <v>31</v>
      </c>
      <c r="Z10" s="198" t="s">
        <v>20</v>
      </c>
      <c r="AA10" s="297"/>
    </row>
    <row r="11" spans="3:45" ht="31.5" customHeight="1">
      <c r="C11" s="298" t="s">
        <v>67</v>
      </c>
      <c r="D11" s="12" t="s">
        <v>22</v>
      </c>
      <c r="E11" s="13">
        <f t="shared" ref="E11:S12" si="0">E17+E24</f>
        <v>22</v>
      </c>
      <c r="F11" s="13">
        <f t="shared" si="0"/>
        <v>15</v>
      </c>
      <c r="G11" s="24">
        <f t="shared" si="0"/>
        <v>58</v>
      </c>
      <c r="H11" s="24">
        <f t="shared" si="0"/>
        <v>21</v>
      </c>
      <c r="I11" s="24">
        <f t="shared" si="0"/>
        <v>5</v>
      </c>
      <c r="J11" s="13">
        <f t="shared" si="0"/>
        <v>106</v>
      </c>
      <c r="K11" s="13">
        <f t="shared" si="0"/>
        <v>374</v>
      </c>
      <c r="L11" s="13">
        <f t="shared" si="0"/>
        <v>3</v>
      </c>
      <c r="M11" s="13">
        <f t="shared" si="0"/>
        <v>28</v>
      </c>
      <c r="N11" s="13">
        <f t="shared" si="0"/>
        <v>40</v>
      </c>
      <c r="O11" s="13">
        <f t="shared" si="0"/>
        <v>120</v>
      </c>
      <c r="P11" s="13">
        <f t="shared" si="0"/>
        <v>28</v>
      </c>
      <c r="Q11" s="13">
        <f t="shared" si="0"/>
        <v>22</v>
      </c>
      <c r="R11" s="13">
        <f>R17+R24</f>
        <v>54</v>
      </c>
      <c r="S11" s="13">
        <f t="shared" si="0"/>
        <v>3</v>
      </c>
      <c r="T11" s="95">
        <f>T17+T24</f>
        <v>16</v>
      </c>
      <c r="U11" s="13">
        <f>U17+U24</f>
        <v>38</v>
      </c>
      <c r="V11" s="95">
        <f t="shared" ref="V11" si="1">V17+V24</f>
        <v>0</v>
      </c>
      <c r="W11" s="141">
        <f>E11+G11+J11+N11+Q11+I11+T11</f>
        <v>269</v>
      </c>
      <c r="X11" s="142">
        <f>+F11+H11+K11+O11+R11+U11</f>
        <v>622</v>
      </c>
      <c r="Y11" s="142">
        <f>+L11</f>
        <v>3</v>
      </c>
      <c r="Z11" s="143">
        <f>+M11+P11+S11+V11</f>
        <v>59</v>
      </c>
      <c r="AA11" s="14">
        <f>SUM(W11:Z11)</f>
        <v>953</v>
      </c>
      <c r="AC11" s="15"/>
      <c r="AD11" s="28">
        <f>+W11+X11-I11</f>
        <v>886</v>
      </c>
      <c r="AG11" s="86"/>
    </row>
    <row r="12" spans="3:45" ht="31.5" customHeight="1">
      <c r="C12" s="299"/>
      <c r="D12" s="16" t="s">
        <v>23</v>
      </c>
      <c r="E12" s="17">
        <f t="shared" si="0"/>
        <v>7</v>
      </c>
      <c r="F12" s="17">
        <f t="shared" si="0"/>
        <v>0</v>
      </c>
      <c r="G12" s="17">
        <f t="shared" si="0"/>
        <v>0</v>
      </c>
      <c r="H12" s="17">
        <f t="shared" si="0"/>
        <v>0</v>
      </c>
      <c r="I12" s="17">
        <f t="shared" si="0"/>
        <v>0</v>
      </c>
      <c r="J12" s="17">
        <f t="shared" si="0"/>
        <v>0</v>
      </c>
      <c r="K12" s="17">
        <f t="shared" si="0"/>
        <v>0</v>
      </c>
      <c r="L12" s="17">
        <f t="shared" si="0"/>
        <v>0</v>
      </c>
      <c r="M12" s="17">
        <f t="shared" si="0"/>
        <v>0</v>
      </c>
      <c r="N12" s="17">
        <f>N18+N25</f>
        <v>0</v>
      </c>
      <c r="O12" s="17">
        <f>O18+O25</f>
        <v>0</v>
      </c>
      <c r="P12" s="17">
        <f>P18+P25</f>
        <v>0</v>
      </c>
      <c r="Q12" s="17">
        <f>Q18+Q25</f>
        <v>0</v>
      </c>
      <c r="R12" s="17">
        <f>R18+R25</f>
        <v>0</v>
      </c>
      <c r="S12" s="17">
        <f>S18+S25</f>
        <v>0</v>
      </c>
      <c r="T12" s="17">
        <f>T18+T25</f>
        <v>0</v>
      </c>
      <c r="U12" s="17">
        <f>U18+U25</f>
        <v>0</v>
      </c>
      <c r="V12" s="17">
        <f>V18+V25</f>
        <v>0</v>
      </c>
      <c r="W12" s="18">
        <f>E12+G12+J12+N12+Q12+I12+T12</f>
        <v>7</v>
      </c>
      <c r="X12" s="98">
        <f>+F12+H12+K12+O12+R12+U12</f>
        <v>0</v>
      </c>
      <c r="Y12" s="98">
        <f>+L12</f>
        <v>0</v>
      </c>
      <c r="Z12" s="19">
        <f>+M12+P12+S12+V12</f>
        <v>0</v>
      </c>
      <c r="AA12" s="20">
        <f>SUM(W12:Z12)</f>
        <v>7</v>
      </c>
      <c r="AC12" s="21"/>
      <c r="AD12" s="28">
        <f>+W12+X12-I12</f>
        <v>7</v>
      </c>
      <c r="AS12" s="40"/>
    </row>
    <row r="13" spans="3:45" ht="31.5" customHeight="1">
      <c r="C13" s="299"/>
      <c r="D13" s="22" t="s">
        <v>24</v>
      </c>
      <c r="E13" s="23">
        <f>E11-E12</f>
        <v>15</v>
      </c>
      <c r="F13" s="23">
        <f t="shared" ref="F13:U13" si="2">F11-F12</f>
        <v>15</v>
      </c>
      <c r="G13" s="23">
        <f t="shared" si="2"/>
        <v>58</v>
      </c>
      <c r="H13" s="23">
        <f t="shared" si="2"/>
        <v>21</v>
      </c>
      <c r="I13" s="23">
        <f t="shared" si="2"/>
        <v>5</v>
      </c>
      <c r="J13" s="23">
        <f t="shared" si="2"/>
        <v>106</v>
      </c>
      <c r="K13" s="23">
        <f t="shared" si="2"/>
        <v>374</v>
      </c>
      <c r="L13" s="23">
        <f t="shared" si="2"/>
        <v>3</v>
      </c>
      <c r="M13" s="23">
        <f t="shared" si="2"/>
        <v>28</v>
      </c>
      <c r="N13" s="23">
        <f t="shared" si="2"/>
        <v>40</v>
      </c>
      <c r="O13" s="23">
        <f t="shared" si="2"/>
        <v>120</v>
      </c>
      <c r="P13" s="23">
        <f t="shared" si="2"/>
        <v>28</v>
      </c>
      <c r="Q13" s="23">
        <f t="shared" si="2"/>
        <v>22</v>
      </c>
      <c r="R13" s="23">
        <f t="shared" si="2"/>
        <v>54</v>
      </c>
      <c r="S13" s="23">
        <f t="shared" si="2"/>
        <v>3</v>
      </c>
      <c r="T13" s="23">
        <f t="shared" si="2"/>
        <v>16</v>
      </c>
      <c r="U13" s="23">
        <f t="shared" si="2"/>
        <v>38</v>
      </c>
      <c r="V13" s="96">
        <f>V11-V12</f>
        <v>0</v>
      </c>
      <c r="W13" s="18">
        <f>E13+G13+J13+N13+Q13+I13+T13</f>
        <v>262</v>
      </c>
      <c r="X13" s="98">
        <f>+F13+H13+K13+O13+R13+U13</f>
        <v>622</v>
      </c>
      <c r="Y13" s="98">
        <f>+L13</f>
        <v>3</v>
      </c>
      <c r="Z13" s="19">
        <f>+M13+P13+S13+V13</f>
        <v>59</v>
      </c>
      <c r="AA13" s="20">
        <f>SUM(W13:Z13)</f>
        <v>946</v>
      </c>
      <c r="AC13" s="28"/>
      <c r="AD13" s="28">
        <f>+W11+X11</f>
        <v>891</v>
      </c>
      <c r="AS13" s="40"/>
    </row>
    <row r="14" spans="3:45" ht="31.5" customHeight="1" thickBot="1">
      <c r="C14" s="299"/>
      <c r="D14" s="39" t="s">
        <v>25</v>
      </c>
      <c r="E14" s="151">
        <f>IFERROR(E12/E11,0)</f>
        <v>0.31818181818181818</v>
      </c>
      <c r="F14" s="152">
        <f>IFERROR(F12/F11,0)</f>
        <v>0</v>
      </c>
      <c r="G14" s="152">
        <f t="shared" ref="G14:V14" si="3">IFERROR(G12/G11,0)</f>
        <v>0</v>
      </c>
      <c r="H14" s="152">
        <f t="shared" si="3"/>
        <v>0</v>
      </c>
      <c r="I14" s="152">
        <f>IFERROR(I12/I11,0)</f>
        <v>0</v>
      </c>
      <c r="J14" s="152">
        <f t="shared" si="3"/>
        <v>0</v>
      </c>
      <c r="K14" s="153">
        <f t="shared" si="3"/>
        <v>0</v>
      </c>
      <c r="L14" s="153">
        <f t="shared" si="3"/>
        <v>0</v>
      </c>
      <c r="M14" s="153">
        <f t="shared" si="3"/>
        <v>0</v>
      </c>
      <c r="N14" s="152">
        <f t="shared" si="3"/>
        <v>0</v>
      </c>
      <c r="O14" s="153">
        <f t="shared" si="3"/>
        <v>0</v>
      </c>
      <c r="P14" s="153">
        <f t="shared" si="3"/>
        <v>0</v>
      </c>
      <c r="Q14" s="153">
        <f t="shared" si="3"/>
        <v>0</v>
      </c>
      <c r="R14" s="153">
        <f t="shared" si="3"/>
        <v>0</v>
      </c>
      <c r="S14" s="153">
        <f t="shared" si="3"/>
        <v>0</v>
      </c>
      <c r="T14" s="153">
        <f t="shared" si="3"/>
        <v>0</v>
      </c>
      <c r="U14" s="153">
        <f t="shared" si="3"/>
        <v>0</v>
      </c>
      <c r="V14" s="154">
        <f t="shared" si="3"/>
        <v>0</v>
      </c>
      <c r="W14" s="97">
        <f>IFERROR(W12/W11,0)</f>
        <v>2.6022304832713755E-2</v>
      </c>
      <c r="X14" s="44">
        <f>IFERROR(X12/X11,0)</f>
        <v>0</v>
      </c>
      <c r="Y14" s="44">
        <f>IFERROR(Y12/Y11,0)</f>
        <v>0</v>
      </c>
      <c r="Z14" s="45">
        <f>IFERROR(Z12/Z11,0)</f>
        <v>0</v>
      </c>
      <c r="AA14" s="155">
        <f>+AA12/AA11</f>
        <v>7.3452256033578172E-3</v>
      </c>
      <c r="AB14" s="28"/>
      <c r="AC14" s="28"/>
      <c r="AD14" s="86"/>
      <c r="AS14" s="40"/>
    </row>
    <row r="15" spans="3:45" ht="31.5" customHeight="1" thickBot="1">
      <c r="C15" s="299"/>
      <c r="D15" s="156" t="s">
        <v>44</v>
      </c>
      <c r="E15" s="301">
        <f>+E12+F12</f>
        <v>7</v>
      </c>
      <c r="F15" s="302"/>
      <c r="G15" s="303">
        <f>+G12+H12</f>
        <v>0</v>
      </c>
      <c r="H15" s="302"/>
      <c r="I15" s="158">
        <f>+I12</f>
        <v>0</v>
      </c>
      <c r="J15" s="304">
        <f>SUM(J12:M12)</f>
        <v>0</v>
      </c>
      <c r="K15" s="304"/>
      <c r="L15" s="304"/>
      <c r="M15" s="302"/>
      <c r="N15" s="303">
        <f>SUM(N12:P12)</f>
        <v>0</v>
      </c>
      <c r="O15" s="304"/>
      <c r="P15" s="302"/>
      <c r="Q15" s="303">
        <f>SUM(Q12:S12)</f>
        <v>0</v>
      </c>
      <c r="R15" s="304"/>
      <c r="S15" s="302"/>
      <c r="T15" s="303">
        <f>SUM(T12:V12)</f>
        <v>0</v>
      </c>
      <c r="U15" s="304"/>
      <c r="V15" s="305"/>
      <c r="W15" s="306">
        <f>SUM(W12:Z12)</f>
        <v>7</v>
      </c>
      <c r="X15" s="307"/>
      <c r="Y15" s="307"/>
      <c r="Z15" s="308"/>
      <c r="AA15" s="157"/>
      <c r="AB15" s="28"/>
      <c r="AC15" s="28"/>
      <c r="AD15" s="86"/>
      <c r="AS15" s="40"/>
    </row>
    <row r="16" spans="3:45" ht="31.5" customHeight="1" thickTop="1" thickBot="1">
      <c r="C16" s="300"/>
      <c r="D16" s="149" t="s">
        <v>26</v>
      </c>
      <c r="E16" s="309">
        <f>E15/AA12</f>
        <v>1</v>
      </c>
      <c r="F16" s="310"/>
      <c r="G16" s="313">
        <f>G15/AA12</f>
        <v>0</v>
      </c>
      <c r="H16" s="310"/>
      <c r="I16" s="233">
        <f>I15/AA12</f>
        <v>0</v>
      </c>
      <c r="J16" s="313">
        <f>J15/$AA$12</f>
        <v>0</v>
      </c>
      <c r="K16" s="314"/>
      <c r="L16" s="314"/>
      <c r="M16" s="310"/>
      <c r="N16" s="314">
        <f>N15/$AA$12</f>
        <v>0</v>
      </c>
      <c r="O16" s="314"/>
      <c r="P16" s="310"/>
      <c r="Q16" s="313">
        <f>Q15/$AA$12</f>
        <v>0</v>
      </c>
      <c r="R16" s="314"/>
      <c r="S16" s="310"/>
      <c r="T16" s="313">
        <f>T15/$AA$12</f>
        <v>0</v>
      </c>
      <c r="U16" s="314"/>
      <c r="V16" s="314"/>
      <c r="W16" s="315">
        <f>W15/$AA$12</f>
        <v>1</v>
      </c>
      <c r="X16" s="316"/>
      <c r="Y16" s="316"/>
      <c r="Z16" s="317"/>
      <c r="AA16" s="150"/>
      <c r="AC16" s="28"/>
      <c r="AS16" s="40"/>
    </row>
    <row r="17" spans="3:45" ht="31.5" customHeight="1">
      <c r="C17" s="311" t="s">
        <v>65</v>
      </c>
      <c r="D17" s="22" t="s">
        <v>22</v>
      </c>
      <c r="E17" s="24">
        <v>18</v>
      </c>
      <c r="F17" s="24">
        <v>7</v>
      </c>
      <c r="G17" s="24">
        <v>38</v>
      </c>
      <c r="H17" s="25">
        <v>13</v>
      </c>
      <c r="I17" s="25">
        <v>5</v>
      </c>
      <c r="J17" s="25">
        <v>56</v>
      </c>
      <c r="K17" s="25">
        <v>195</v>
      </c>
      <c r="L17" s="25">
        <v>2</v>
      </c>
      <c r="M17" s="25">
        <v>9</v>
      </c>
      <c r="N17" s="24">
        <v>24</v>
      </c>
      <c r="O17" s="25">
        <v>59</v>
      </c>
      <c r="P17" s="25">
        <v>12</v>
      </c>
      <c r="Q17" s="25">
        <v>15</v>
      </c>
      <c r="R17" s="25">
        <v>29</v>
      </c>
      <c r="S17" s="25">
        <v>0</v>
      </c>
      <c r="T17" s="25">
        <v>9</v>
      </c>
      <c r="U17" s="25">
        <v>19</v>
      </c>
      <c r="V17" s="145">
        <v>0</v>
      </c>
      <c r="W17" s="146">
        <f>E17+G17+J17+N17+Q17+I17+T17</f>
        <v>165</v>
      </c>
      <c r="X17" s="147">
        <f>+F17+H17+K17+O17+R17+U17</f>
        <v>322</v>
      </c>
      <c r="Y17" s="147">
        <f>+L17</f>
        <v>2</v>
      </c>
      <c r="Z17" s="148">
        <f>+M17+P17+S17+V17</f>
        <v>21</v>
      </c>
      <c r="AA17" s="26">
        <f t="shared" ref="AA17:AA21" si="4">SUM(W17:Z17)</f>
        <v>510</v>
      </c>
      <c r="AC17" s="76"/>
      <c r="AS17" s="40"/>
    </row>
    <row r="18" spans="3:45" ht="31.5" customHeight="1">
      <c r="C18" s="312"/>
      <c r="D18" s="16" t="s">
        <v>23</v>
      </c>
      <c r="E18" s="17">
        <f>+E17-SUM(E19:E22)</f>
        <v>7</v>
      </c>
      <c r="F18" s="27">
        <f>+F17-SUM(F19:F22)</f>
        <v>0</v>
      </c>
      <c r="G18" s="27">
        <f>+G17-SUM(G19:G22)</f>
        <v>0</v>
      </c>
      <c r="H18" s="27">
        <f>+H17-SUM(H19:H22)</f>
        <v>0</v>
      </c>
      <c r="I18" s="27">
        <f t="shared" ref="I18:V18" si="5">+I17-SUM(I19:I22)</f>
        <v>0</v>
      </c>
      <c r="J18" s="27">
        <f>+J17-SUM(J19:J22)</f>
        <v>0</v>
      </c>
      <c r="K18" s="27">
        <f>+K17-SUM(K19:K22)</f>
        <v>0</v>
      </c>
      <c r="L18" s="27">
        <f t="shared" si="5"/>
        <v>0</v>
      </c>
      <c r="M18" s="27">
        <f t="shared" si="5"/>
        <v>0</v>
      </c>
      <c r="N18" s="17">
        <f t="shared" si="5"/>
        <v>0</v>
      </c>
      <c r="O18" s="27">
        <f t="shared" si="5"/>
        <v>0</v>
      </c>
      <c r="P18" s="27">
        <f t="shared" si="5"/>
        <v>0</v>
      </c>
      <c r="Q18" s="27">
        <f t="shared" si="5"/>
        <v>0</v>
      </c>
      <c r="R18" s="27">
        <f>+R17-SUM(R19:R22)</f>
        <v>0</v>
      </c>
      <c r="S18" s="27">
        <f t="shared" si="5"/>
        <v>0</v>
      </c>
      <c r="T18" s="27">
        <f t="shared" si="5"/>
        <v>0</v>
      </c>
      <c r="U18" s="27">
        <f>+U17-SUM(U19:U22)</f>
        <v>0</v>
      </c>
      <c r="V18" s="144">
        <f t="shared" si="5"/>
        <v>0</v>
      </c>
      <c r="W18" s="18">
        <f>E18+G18+J18+N18+Q18+I18+T18</f>
        <v>7</v>
      </c>
      <c r="X18" s="98">
        <f t="shared" ref="X18:X22" si="6">+F18+H18+K18+O18+R18+U18</f>
        <v>0</v>
      </c>
      <c r="Y18" s="98">
        <f t="shared" ref="Y18:Y22" si="7">+L18</f>
        <v>0</v>
      </c>
      <c r="Z18" s="19">
        <f t="shared" ref="Z18:Z22" si="8">+M18+P18+S18+V18</f>
        <v>0</v>
      </c>
      <c r="AA18" s="20">
        <f t="shared" si="4"/>
        <v>7</v>
      </c>
      <c r="AC18" s="86"/>
      <c r="AD18" s="28"/>
      <c r="AG18" s="86"/>
      <c r="AS18" s="40"/>
    </row>
    <row r="19" spans="3:45" ht="31.5" customHeight="1">
      <c r="C19" s="312"/>
      <c r="D19" s="29" t="s">
        <v>27</v>
      </c>
      <c r="E19" s="30"/>
      <c r="F19" s="42"/>
      <c r="G19" s="42"/>
      <c r="H19" s="42"/>
      <c r="I19" s="4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3"/>
      <c r="W19" s="18">
        <f>E19+G19+J19+N19+Q19+I19+T19</f>
        <v>0</v>
      </c>
      <c r="X19" s="98">
        <f>+F19+H19+K19+O19+R19+U19</f>
        <v>0</v>
      </c>
      <c r="Y19" s="98">
        <f t="shared" si="7"/>
        <v>0</v>
      </c>
      <c r="Z19" s="19">
        <f t="shared" si="8"/>
        <v>0</v>
      </c>
      <c r="AA19" s="34">
        <f>SUM(W19:Z19)</f>
        <v>0</v>
      </c>
      <c r="AS19" s="40"/>
    </row>
    <row r="20" spans="3:45" ht="31.5" customHeight="1">
      <c r="C20" s="312"/>
      <c r="D20" s="35" t="s">
        <v>28</v>
      </c>
      <c r="E20" s="36"/>
      <c r="F20" s="43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8"/>
      <c r="V20" s="38"/>
      <c r="W20" s="18">
        <f>E20+G20+J20+N20+Q20+I20+T20</f>
        <v>0</v>
      </c>
      <c r="X20" s="98">
        <f>+F20+H20+K20+O20+R20+U20</f>
        <v>0</v>
      </c>
      <c r="Y20" s="98">
        <f t="shared" si="7"/>
        <v>0</v>
      </c>
      <c r="Z20" s="19">
        <f t="shared" si="8"/>
        <v>0</v>
      </c>
      <c r="AA20" s="34">
        <f t="shared" si="4"/>
        <v>0</v>
      </c>
      <c r="AG20" s="86"/>
      <c r="AS20" s="40"/>
    </row>
    <row r="21" spans="3:45" ht="31.5" customHeight="1">
      <c r="C21" s="312"/>
      <c r="D21" s="35" t="s">
        <v>29</v>
      </c>
      <c r="E21" s="36">
        <v>11</v>
      </c>
      <c r="F21" s="43">
        <v>7</v>
      </c>
      <c r="G21" s="37">
        <v>38</v>
      </c>
      <c r="H21" s="37">
        <v>13</v>
      </c>
      <c r="I21" s="37">
        <v>5</v>
      </c>
      <c r="J21" s="37">
        <v>56</v>
      </c>
      <c r="K21" s="37">
        <v>195</v>
      </c>
      <c r="L21" s="37">
        <v>2</v>
      </c>
      <c r="M21" s="37">
        <v>9</v>
      </c>
      <c r="N21" s="37">
        <v>24</v>
      </c>
      <c r="O21" s="37">
        <v>59</v>
      </c>
      <c r="P21" s="37">
        <v>12</v>
      </c>
      <c r="Q21" s="37">
        <v>15</v>
      </c>
      <c r="R21" s="37">
        <v>29</v>
      </c>
      <c r="S21" s="37">
        <v>0</v>
      </c>
      <c r="T21" s="37">
        <v>9</v>
      </c>
      <c r="U21" s="38">
        <v>19</v>
      </c>
      <c r="V21" s="38">
        <v>0</v>
      </c>
      <c r="W21" s="18">
        <f t="shared" ref="W21:W22" si="9">E21+G21+J21+N21+Q21+I21+T21</f>
        <v>158</v>
      </c>
      <c r="X21" s="98">
        <f t="shared" si="6"/>
        <v>322</v>
      </c>
      <c r="Y21" s="98">
        <f t="shared" si="7"/>
        <v>2</v>
      </c>
      <c r="Z21" s="19">
        <f t="shared" si="8"/>
        <v>21</v>
      </c>
      <c r="AA21" s="34">
        <f t="shared" si="4"/>
        <v>503</v>
      </c>
      <c r="AS21" s="40"/>
    </row>
    <row r="22" spans="3:45" ht="31.5" customHeight="1" thickBot="1">
      <c r="C22" s="312"/>
      <c r="D22" s="160" t="s">
        <v>30</v>
      </c>
      <c r="E22" s="161"/>
      <c r="F22" s="162"/>
      <c r="G22" s="162"/>
      <c r="H22" s="140"/>
      <c r="I22" s="140"/>
      <c r="J22" s="163"/>
      <c r="K22" s="163"/>
      <c r="L22" s="140"/>
      <c r="M22" s="140"/>
      <c r="N22" s="140"/>
      <c r="O22" s="140"/>
      <c r="P22" s="163"/>
      <c r="Q22" s="188"/>
      <c r="R22" s="140"/>
      <c r="S22" s="140"/>
      <c r="T22" s="140"/>
      <c r="U22" s="163"/>
      <c r="V22" s="67"/>
      <c r="W22" s="164">
        <f t="shared" si="9"/>
        <v>0</v>
      </c>
      <c r="X22" s="165">
        <f t="shared" si="6"/>
        <v>0</v>
      </c>
      <c r="Y22" s="165">
        <f t="shared" si="7"/>
        <v>0</v>
      </c>
      <c r="Z22" s="166">
        <f t="shared" si="8"/>
        <v>0</v>
      </c>
      <c r="AA22" s="167">
        <f>SUM(W22:Z22)</f>
        <v>0</v>
      </c>
      <c r="AS22" s="40"/>
    </row>
    <row r="23" spans="3:45" ht="31.5" customHeight="1" thickTop="1" thickBot="1">
      <c r="C23" s="300"/>
      <c r="D23" s="149" t="s">
        <v>25</v>
      </c>
      <c r="E23" s="180">
        <f>IFERROR(E18/E17,0)</f>
        <v>0.3888888888888889</v>
      </c>
      <c r="F23" s="179">
        <f t="shared" ref="F23:T23" si="10">IFERROR(F18/F17,0)</f>
        <v>0</v>
      </c>
      <c r="G23" s="179">
        <f t="shared" si="10"/>
        <v>0</v>
      </c>
      <c r="H23" s="179">
        <f t="shared" si="10"/>
        <v>0</v>
      </c>
      <c r="I23" s="177">
        <f t="shared" si="10"/>
        <v>0</v>
      </c>
      <c r="J23" s="179">
        <f t="shared" si="10"/>
        <v>0</v>
      </c>
      <c r="K23" s="179">
        <f t="shared" si="10"/>
        <v>0</v>
      </c>
      <c r="L23" s="179">
        <f>IFERROR(L18/L17,0)</f>
        <v>0</v>
      </c>
      <c r="M23" s="177">
        <f t="shared" si="10"/>
        <v>0</v>
      </c>
      <c r="N23" s="177">
        <f t="shared" si="10"/>
        <v>0</v>
      </c>
      <c r="O23" s="177">
        <f t="shared" si="10"/>
        <v>0</v>
      </c>
      <c r="P23" s="177">
        <f t="shared" si="10"/>
        <v>0</v>
      </c>
      <c r="Q23" s="176">
        <f t="shared" si="10"/>
        <v>0</v>
      </c>
      <c r="R23" s="179">
        <f t="shared" si="10"/>
        <v>0</v>
      </c>
      <c r="S23" s="177">
        <f>IFERROR(S18/S17,0)</f>
        <v>0</v>
      </c>
      <c r="T23" s="177">
        <f t="shared" si="10"/>
        <v>0</v>
      </c>
      <c r="U23" s="176">
        <f>IFERROR(U18/U17,0)</f>
        <v>0</v>
      </c>
      <c r="V23" s="175">
        <f>IFERROR(V18/V17,0)</f>
        <v>0</v>
      </c>
      <c r="W23" s="173">
        <f>IFERROR(W18/W17,0)</f>
        <v>4.2424242424242427E-2</v>
      </c>
      <c r="X23" s="172">
        <f>IFERROR(X18/X17,0)</f>
        <v>0</v>
      </c>
      <c r="Y23" s="172">
        <f>IFERROR(Y18/Y17,0)</f>
        <v>0</v>
      </c>
      <c r="Z23" s="169">
        <f t="shared" ref="Z23" si="11">IFERROR(Z18/Z17,0)</f>
        <v>0</v>
      </c>
      <c r="AA23" s="170">
        <f>+AA18/AA17</f>
        <v>1.3725490196078431E-2</v>
      </c>
      <c r="AB23" s="171"/>
      <c r="AC23" s="28"/>
      <c r="AS23" s="40"/>
    </row>
    <row r="24" spans="3:45" ht="31.5" customHeight="1" thickTop="1">
      <c r="C24" s="312" t="s">
        <v>66</v>
      </c>
      <c r="D24" s="181" t="s">
        <v>22</v>
      </c>
      <c r="E24" s="24">
        <v>4</v>
      </c>
      <c r="F24" s="24">
        <v>8</v>
      </c>
      <c r="G24" s="24">
        <v>20</v>
      </c>
      <c r="H24" s="24">
        <v>8</v>
      </c>
      <c r="I24" s="178">
        <v>0</v>
      </c>
      <c r="J24" s="24">
        <v>50</v>
      </c>
      <c r="K24" s="24">
        <v>179</v>
      </c>
      <c r="L24" s="24">
        <v>1</v>
      </c>
      <c r="M24" s="178">
        <v>19</v>
      </c>
      <c r="N24" s="178">
        <v>16</v>
      </c>
      <c r="O24" s="178">
        <v>61</v>
      </c>
      <c r="P24" s="178">
        <v>16</v>
      </c>
      <c r="Q24" s="178">
        <v>7</v>
      </c>
      <c r="R24" s="24">
        <v>25</v>
      </c>
      <c r="S24" s="178">
        <v>3</v>
      </c>
      <c r="T24" s="178">
        <v>7</v>
      </c>
      <c r="U24" s="178">
        <v>19</v>
      </c>
      <c r="V24" s="187">
        <v>0</v>
      </c>
      <c r="W24" s="174">
        <f>E24+G24+J24+N24+Q24+I24+T24</f>
        <v>104</v>
      </c>
      <c r="X24" s="147">
        <f>+F24+H24+K24+O24+R24+U24</f>
        <v>300</v>
      </c>
      <c r="Y24" s="147">
        <f>+L24</f>
        <v>1</v>
      </c>
      <c r="Z24" s="148">
        <f>+M24+P24+S24+V24</f>
        <v>38</v>
      </c>
      <c r="AA24" s="168">
        <f t="shared" ref="AA24:AA29" si="12">SUM(W24:Z24)</f>
        <v>443</v>
      </c>
      <c r="AS24" s="40"/>
    </row>
    <row r="25" spans="3:45" ht="31.5" customHeight="1">
      <c r="C25" s="312"/>
      <c r="D25" s="16" t="s">
        <v>23</v>
      </c>
      <c r="E25" s="17">
        <f>+E24-SUM(E26:E29)</f>
        <v>0</v>
      </c>
      <c r="F25" s="17">
        <f>+F24-SUM(F26:F29)</f>
        <v>0</v>
      </c>
      <c r="G25" s="17">
        <f>+G24-SUM(G26:G29)</f>
        <v>0</v>
      </c>
      <c r="H25" s="17">
        <f>+H24-SUM(H26:H29)</f>
        <v>0</v>
      </c>
      <c r="I25" s="17">
        <f t="shared" ref="I25:V25" si="13">+I24-SUM(I26:I29)</f>
        <v>0</v>
      </c>
      <c r="J25" s="17">
        <f>+J24-SUM(J26:J29)</f>
        <v>0</v>
      </c>
      <c r="K25" s="17">
        <f>+K24-SUM(K26:K29)</f>
        <v>0</v>
      </c>
      <c r="L25" s="27">
        <f>+L24-SUM(L26:L29)</f>
        <v>0</v>
      </c>
      <c r="M25" s="17">
        <f>+M24-SUM(M26:M29)</f>
        <v>0</v>
      </c>
      <c r="N25" s="17">
        <f>+N24-SUM(N26:N29)</f>
        <v>0</v>
      </c>
      <c r="O25" s="17">
        <f t="shared" si="13"/>
        <v>0</v>
      </c>
      <c r="P25" s="17">
        <f>+P24-SUM(P26:P29)</f>
        <v>0</v>
      </c>
      <c r="Q25" s="17">
        <f>+Q24-SUM(Q26:Q29)</f>
        <v>0</v>
      </c>
      <c r="R25" s="27">
        <f>+R24-SUM(R26:R29)</f>
        <v>0</v>
      </c>
      <c r="S25" s="17">
        <f t="shared" si="13"/>
        <v>0</v>
      </c>
      <c r="T25" s="17">
        <f t="shared" si="13"/>
        <v>0</v>
      </c>
      <c r="U25" s="27">
        <f>+U24-SUM(U26:U29)</f>
        <v>0</v>
      </c>
      <c r="V25" s="17">
        <f t="shared" si="13"/>
        <v>0</v>
      </c>
      <c r="W25" s="18">
        <f t="shared" ref="W25:W28" si="14">E25+G25+J25+N25+Q25+I25+T25</f>
        <v>0</v>
      </c>
      <c r="X25" s="98">
        <f t="shared" ref="X25:X28" si="15">+F25+H25+K25+O25+R25+U25</f>
        <v>0</v>
      </c>
      <c r="Y25" s="98">
        <f t="shared" ref="Y25:Y29" si="16">+L25</f>
        <v>0</v>
      </c>
      <c r="Z25" s="19">
        <f t="shared" ref="Z25:Z29" si="17">+M25+P25+S25+V25</f>
        <v>0</v>
      </c>
      <c r="AA25" s="20">
        <f t="shared" si="12"/>
        <v>0</v>
      </c>
      <c r="AS25" s="40"/>
    </row>
    <row r="26" spans="3:45" ht="31.5" customHeight="1">
      <c r="C26" s="312"/>
      <c r="D26" s="29" t="s">
        <v>27</v>
      </c>
      <c r="E26" s="30"/>
      <c r="F26" s="42"/>
      <c r="G26" s="42"/>
      <c r="H26" s="31"/>
      <c r="I26" s="32"/>
      <c r="J26" s="37"/>
      <c r="K26" s="37"/>
      <c r="L26" s="32"/>
      <c r="M26" s="32"/>
      <c r="N26" s="37"/>
      <c r="O26" s="37"/>
      <c r="P26" s="32"/>
      <c r="Q26" s="32"/>
      <c r="R26" s="32"/>
      <c r="S26" s="32"/>
      <c r="T26" s="33"/>
      <c r="U26" s="33"/>
      <c r="V26" s="33"/>
      <c r="W26" s="18">
        <f t="shared" si="14"/>
        <v>0</v>
      </c>
      <c r="X26" s="98">
        <f t="shared" si="15"/>
        <v>0</v>
      </c>
      <c r="Y26" s="98">
        <f t="shared" si="16"/>
        <v>0</v>
      </c>
      <c r="Z26" s="19">
        <f t="shared" si="17"/>
        <v>0</v>
      </c>
      <c r="AA26" s="34">
        <f t="shared" si="12"/>
        <v>0</v>
      </c>
      <c r="AS26" s="40"/>
    </row>
    <row r="27" spans="3:45" ht="31.5" customHeight="1">
      <c r="C27" s="312"/>
      <c r="D27" s="35" t="s">
        <v>28</v>
      </c>
      <c r="E27" s="36"/>
      <c r="F27" s="43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67"/>
      <c r="U27" s="67"/>
      <c r="V27" s="67"/>
      <c r="W27" s="18">
        <f t="shared" si="14"/>
        <v>0</v>
      </c>
      <c r="X27" s="98">
        <f t="shared" si="15"/>
        <v>0</v>
      </c>
      <c r="Y27" s="98">
        <f>+L27</f>
        <v>0</v>
      </c>
      <c r="Z27" s="19">
        <f t="shared" si="17"/>
        <v>0</v>
      </c>
      <c r="AA27" s="34">
        <f t="shared" si="12"/>
        <v>0</v>
      </c>
      <c r="AS27" s="40"/>
    </row>
    <row r="28" spans="3:45" ht="31.5" customHeight="1">
      <c r="C28" s="312"/>
      <c r="D28" s="35" t="s">
        <v>29</v>
      </c>
      <c r="E28" s="36">
        <v>4</v>
      </c>
      <c r="F28" s="43">
        <v>8</v>
      </c>
      <c r="G28" s="37">
        <v>20</v>
      </c>
      <c r="H28" s="37">
        <v>8</v>
      </c>
      <c r="I28" s="37">
        <v>0</v>
      </c>
      <c r="J28" s="37">
        <v>50</v>
      </c>
      <c r="K28" s="37">
        <v>179</v>
      </c>
      <c r="L28" s="37">
        <v>1</v>
      </c>
      <c r="M28" s="37">
        <v>19</v>
      </c>
      <c r="N28" s="37">
        <v>16</v>
      </c>
      <c r="O28" s="37">
        <v>61</v>
      </c>
      <c r="P28" s="37">
        <v>16</v>
      </c>
      <c r="Q28" s="37">
        <v>7</v>
      </c>
      <c r="R28" s="37">
        <v>25</v>
      </c>
      <c r="S28" s="37">
        <v>3</v>
      </c>
      <c r="T28" s="37">
        <v>7</v>
      </c>
      <c r="U28" s="37">
        <v>19</v>
      </c>
      <c r="V28" s="37">
        <v>0</v>
      </c>
      <c r="W28" s="18">
        <f t="shared" si="14"/>
        <v>104</v>
      </c>
      <c r="X28" s="98">
        <f t="shared" si="15"/>
        <v>300</v>
      </c>
      <c r="Y28" s="98">
        <f>+L28</f>
        <v>1</v>
      </c>
      <c r="Z28" s="19">
        <f t="shared" si="17"/>
        <v>38</v>
      </c>
      <c r="AA28" s="34">
        <f t="shared" si="12"/>
        <v>443</v>
      </c>
      <c r="AS28" s="40"/>
    </row>
    <row r="29" spans="3:45" ht="31.5" customHeight="1" thickBot="1">
      <c r="C29" s="312"/>
      <c r="D29" s="160" t="s">
        <v>30</v>
      </c>
      <c r="E29" s="161"/>
      <c r="F29" s="162"/>
      <c r="G29" s="162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82"/>
      <c r="V29" s="182"/>
      <c r="W29" s="164">
        <f>E29+G29+J29+N29+Q29+I29+T29</f>
        <v>0</v>
      </c>
      <c r="X29" s="165">
        <f>+F29+H29+K29+O29+R29+U29</f>
        <v>0</v>
      </c>
      <c r="Y29" s="165">
        <f t="shared" si="16"/>
        <v>0</v>
      </c>
      <c r="Z29" s="166">
        <f t="shared" si="17"/>
        <v>0</v>
      </c>
      <c r="AA29" s="167">
        <f t="shared" si="12"/>
        <v>0</v>
      </c>
      <c r="AS29" s="40"/>
    </row>
    <row r="30" spans="3:45" ht="31.5" customHeight="1" thickTop="1" thickBot="1">
      <c r="C30" s="300"/>
      <c r="D30" s="149" t="s">
        <v>25</v>
      </c>
      <c r="E30" s="183">
        <f>IFERROR(E25/E24,0)</f>
        <v>0</v>
      </c>
      <c r="F30" s="184">
        <f t="shared" ref="F30:Z30" si="18">IFERROR(F25/F24,0)</f>
        <v>0</v>
      </c>
      <c r="G30" s="183">
        <f t="shared" si="18"/>
        <v>0</v>
      </c>
      <c r="H30" s="183">
        <f t="shared" si="18"/>
        <v>0</v>
      </c>
      <c r="I30" s="183">
        <f t="shared" si="18"/>
        <v>0</v>
      </c>
      <c r="J30" s="183">
        <f>IFERROR(J25/J24,0)</f>
        <v>0</v>
      </c>
      <c r="K30" s="184">
        <f>IFERROR(K25/K24,0)</f>
        <v>0</v>
      </c>
      <c r="L30" s="184">
        <f>IFERROR(L25/L24,0)</f>
        <v>0</v>
      </c>
      <c r="M30" s="184">
        <f>IFERROR(M25/M24,0)</f>
        <v>0</v>
      </c>
      <c r="N30" s="184">
        <f>IFERROR(N25/N24,0)</f>
        <v>0</v>
      </c>
      <c r="O30" s="184">
        <f t="shared" si="18"/>
        <v>0</v>
      </c>
      <c r="P30" s="184">
        <f>IFERROR(P25/P24,0)</f>
        <v>0</v>
      </c>
      <c r="Q30" s="184">
        <f t="shared" si="18"/>
        <v>0</v>
      </c>
      <c r="R30" s="184">
        <f>IFERROR(R25/R24,0)</f>
        <v>0</v>
      </c>
      <c r="S30" s="184">
        <f>IFERROR(S25/S24,0)</f>
        <v>0</v>
      </c>
      <c r="T30" s="184">
        <f>IFERROR(T25/T24,0)</f>
        <v>0</v>
      </c>
      <c r="U30" s="184">
        <f>IFERROR(U25/U24,0)</f>
        <v>0</v>
      </c>
      <c r="V30" s="185">
        <f t="shared" ref="V30" si="19">IFERROR(V25/V24,0)</f>
        <v>0</v>
      </c>
      <c r="W30" s="186">
        <f>IFERROR(W25/W24,0)</f>
        <v>0</v>
      </c>
      <c r="X30" s="172">
        <f t="shared" si="18"/>
        <v>0</v>
      </c>
      <c r="Y30" s="172">
        <f t="shared" si="18"/>
        <v>0</v>
      </c>
      <c r="Z30" s="169">
        <f t="shared" si="18"/>
        <v>0</v>
      </c>
      <c r="AA30" s="150">
        <f>+AA25/AA24</f>
        <v>0</v>
      </c>
      <c r="AS30" s="40"/>
    </row>
    <row r="31" spans="3:45" ht="19.5" customHeight="1">
      <c r="C31" s="41"/>
      <c r="D31" s="41"/>
      <c r="W31" s="280"/>
      <c r="X31" s="280"/>
      <c r="Y31" s="280"/>
      <c r="Z31" s="280"/>
      <c r="AS31" s="40"/>
    </row>
    <row r="32" spans="3:45" ht="19.5" customHeight="1">
      <c r="C32" s="41"/>
      <c r="D32" s="41"/>
      <c r="W32" s="232"/>
      <c r="X32" s="232"/>
      <c r="Y32" s="232"/>
      <c r="Z32" s="232"/>
      <c r="AS32" s="40"/>
    </row>
    <row r="33" spans="3:45">
      <c r="C33" s="41"/>
      <c r="D33" s="41"/>
      <c r="W33" s="232"/>
      <c r="X33" s="232"/>
      <c r="Y33" s="232"/>
      <c r="Z33" s="232"/>
      <c r="AS33" s="40"/>
    </row>
    <row r="34" spans="3:45" ht="29.25" customHeight="1">
      <c r="M34" s="28"/>
      <c r="W34" s="232"/>
      <c r="X34" s="232"/>
      <c r="Y34" s="232"/>
      <c r="Z34" s="232"/>
      <c r="AS34" s="40"/>
    </row>
    <row r="35" spans="3:45" ht="21" customHeight="1">
      <c r="W35" s="232"/>
      <c r="X35" s="232"/>
      <c r="Y35" s="232"/>
      <c r="Z35" s="232"/>
      <c r="AS35" s="40"/>
    </row>
    <row r="36" spans="3:45" ht="21" customHeight="1">
      <c r="W36" s="232"/>
      <c r="X36" s="232"/>
      <c r="Y36" s="232"/>
      <c r="Z36" s="232"/>
      <c r="AS36" s="40"/>
    </row>
    <row r="37" spans="3:45" ht="21" customHeight="1">
      <c r="W37" s="232"/>
      <c r="X37" s="232"/>
      <c r="Y37" s="232"/>
      <c r="Z37" s="232"/>
      <c r="AS37" s="40"/>
    </row>
    <row r="38" spans="3:45" ht="21" customHeight="1">
      <c r="W38" s="232"/>
      <c r="X38" s="232"/>
      <c r="Y38" s="232"/>
      <c r="Z38" s="232"/>
      <c r="AS38" s="40"/>
    </row>
    <row r="39" spans="3:45" ht="21" customHeight="1">
      <c r="W39" s="232"/>
      <c r="X39" s="232"/>
      <c r="Y39" s="232"/>
      <c r="Z39" s="232"/>
    </row>
    <row r="40" spans="3:45" ht="21" customHeight="1">
      <c r="C40" s="41"/>
      <c r="D40" s="41"/>
      <c r="W40" s="232"/>
      <c r="X40" s="232"/>
      <c r="Y40" s="232"/>
      <c r="Z40" s="232"/>
    </row>
    <row r="41" spans="3:45" ht="21" customHeight="1">
      <c r="C41" s="41"/>
      <c r="D41" s="41"/>
      <c r="W41" s="232"/>
      <c r="X41" s="232"/>
      <c r="Y41" s="232"/>
      <c r="Z41" s="232"/>
    </row>
    <row r="42" spans="3:45" ht="19.5" customHeight="1">
      <c r="C42" s="41"/>
      <c r="D42" s="41"/>
      <c r="W42" s="232"/>
      <c r="X42" s="232"/>
      <c r="Y42" s="232"/>
      <c r="Z42" s="232"/>
    </row>
    <row r="43" spans="3:45">
      <c r="C43" s="41"/>
      <c r="D43" s="41"/>
      <c r="W43" s="232"/>
      <c r="X43" s="232"/>
      <c r="Y43" s="232"/>
      <c r="Z43" s="232"/>
    </row>
    <row r="44" spans="3:45">
      <c r="C44" s="41"/>
      <c r="D44" s="41"/>
      <c r="W44" s="232"/>
      <c r="X44" s="232"/>
      <c r="Y44" s="232"/>
      <c r="Z44" s="232"/>
    </row>
    <row r="45" spans="3:45">
      <c r="C45" s="41"/>
      <c r="D45" s="41"/>
      <c r="W45" s="232"/>
      <c r="X45" s="232"/>
      <c r="Y45" s="232"/>
      <c r="Z45" s="232"/>
    </row>
    <row r="46" spans="3:45">
      <c r="C46" s="41"/>
      <c r="D46" s="41"/>
      <c r="W46" s="232"/>
      <c r="X46" s="232"/>
      <c r="Y46" s="232"/>
      <c r="Z46" s="232"/>
    </row>
    <row r="47" spans="3:45">
      <c r="C47" s="41"/>
      <c r="D47" s="41"/>
      <c r="W47" s="232"/>
      <c r="X47" s="232"/>
      <c r="Y47" s="232"/>
      <c r="Z47" s="232"/>
    </row>
    <row r="48" spans="3:45">
      <c r="C48" s="41"/>
      <c r="D48" s="41"/>
      <c r="W48" s="232"/>
      <c r="X48" s="232"/>
      <c r="Y48" s="232"/>
      <c r="Z48" s="232"/>
    </row>
    <row r="49" spans="3:26">
      <c r="C49" s="41"/>
      <c r="D49" s="41"/>
      <c r="W49" s="232"/>
      <c r="X49" s="232"/>
      <c r="Y49" s="232"/>
      <c r="Z49" s="232"/>
    </row>
  </sheetData>
  <mergeCells count="38">
    <mergeCell ref="C17:C23"/>
    <mergeCell ref="C24:C30"/>
    <mergeCell ref="W31:Z31"/>
    <mergeCell ref="G16:H16"/>
    <mergeCell ref="J16:M16"/>
    <mergeCell ref="N16:P16"/>
    <mergeCell ref="Q16:S16"/>
    <mergeCell ref="T16:V16"/>
    <mergeCell ref="W16:Z16"/>
    <mergeCell ref="AA9:AA10"/>
    <mergeCell ref="C11:C16"/>
    <mergeCell ref="E15:F15"/>
    <mergeCell ref="G15:H15"/>
    <mergeCell ref="J15:M15"/>
    <mergeCell ref="N15:P15"/>
    <mergeCell ref="Q15:S15"/>
    <mergeCell ref="T15:V15"/>
    <mergeCell ref="W15:Z15"/>
    <mergeCell ref="E16:F16"/>
    <mergeCell ref="X7:Z7"/>
    <mergeCell ref="C9:D10"/>
    <mergeCell ref="E9:F9"/>
    <mergeCell ref="G9:H9"/>
    <mergeCell ref="I9:I10"/>
    <mergeCell ref="J9:M9"/>
    <mergeCell ref="N9:P9"/>
    <mergeCell ref="Q9:S9"/>
    <mergeCell ref="T9:V9"/>
    <mergeCell ref="W9:Z9"/>
    <mergeCell ref="C2:P5"/>
    <mergeCell ref="Q2:S2"/>
    <mergeCell ref="T2:V2"/>
    <mergeCell ref="Q3:S3"/>
    <mergeCell ref="T3:V3"/>
    <mergeCell ref="Q4:S4"/>
    <mergeCell ref="T4:V4"/>
    <mergeCell ref="Q5:S5"/>
    <mergeCell ref="T5:V5"/>
  </mergeCells>
  <conditionalFormatting sqref="E16">
    <cfRule type="cellIs" dxfId="5" priority="2" operator="greaterThan">
      <formula>#REF!</formula>
    </cfRule>
  </conditionalFormatting>
  <conditionalFormatting sqref="G16">
    <cfRule type="cellIs" dxfId="4" priority="7" operator="greaterThan">
      <formula>#REF!</formula>
    </cfRule>
  </conditionalFormatting>
  <conditionalFormatting sqref="I16:V16">
    <cfRule type="cellIs" dxfId="3" priority="1" operator="greaterThan">
      <formula>#REF!</formula>
    </cfRule>
  </conditionalFormatting>
  <printOptions verticalCentered="1"/>
  <pageMargins left="0" right="0" top="0.5" bottom="0" header="0" footer="0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2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3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4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5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6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7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8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9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0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1"/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1:BH95"/>
  <sheetViews>
    <sheetView showGridLines="0" tabSelected="1" zoomScale="56" zoomScaleNormal="56" zoomScalePageLayoutView="60" workbookViewId="0">
      <selection activeCell="C18" sqref="C18:C22"/>
    </sheetView>
  </sheetViews>
  <sheetFormatPr defaultColWidth="9" defaultRowHeight="14.6"/>
  <cols>
    <col min="1" max="1" width="1.69140625" customWidth="1"/>
    <col min="2" max="2" width="1.15234375" customWidth="1"/>
    <col min="3" max="4" width="8.84375" customWidth="1"/>
    <col min="5" max="5" width="19.15234375" customWidth="1"/>
    <col min="6" max="8" width="9.3828125" style="134" customWidth="1"/>
    <col min="9" max="11" width="8.3046875" style="79" customWidth="1"/>
    <col min="12" max="25" width="8.3046875" style="93" customWidth="1"/>
    <col min="26" max="31" width="8.3046875" style="93" hidden="1" customWidth="1"/>
    <col min="32" max="32" width="7.84375" style="93" hidden="1" customWidth="1"/>
    <col min="33" max="36" width="8.3046875" style="93" hidden="1" customWidth="1"/>
    <col min="37" max="39" width="9.3046875" style="79" hidden="1" customWidth="1"/>
    <col min="40" max="40" width="3.84375" customWidth="1"/>
    <col min="41" max="41" width="2.69140625" customWidth="1"/>
    <col min="42" max="42" width="7.53515625" customWidth="1"/>
    <col min="43" max="43" width="5.53515625" customWidth="1"/>
    <col min="44" max="44" width="8.84375" customWidth="1"/>
    <col min="45" max="50" width="5.69140625" customWidth="1"/>
    <col min="51" max="51" width="6.3828125" customWidth="1"/>
    <col min="52" max="52" width="7.53515625" customWidth="1"/>
    <col min="53" max="53" width="5.53515625" customWidth="1"/>
    <col min="54" max="55" width="7.3828125" customWidth="1"/>
  </cols>
  <sheetData>
    <row r="1" spans="3:60" s="73" customFormat="1" ht="10.5" customHeight="1">
      <c r="F1" s="121"/>
      <c r="G1" s="121"/>
      <c r="H1" s="121"/>
      <c r="I1" s="71"/>
      <c r="J1" s="71"/>
      <c r="K1" s="71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71"/>
      <c r="AL1" s="71"/>
      <c r="AM1" s="71"/>
    </row>
    <row r="2" spans="3:60" s="73" customFormat="1" ht="6" customHeight="1">
      <c r="F2" s="121"/>
      <c r="G2" s="121"/>
      <c r="H2" s="121"/>
      <c r="I2" s="71"/>
      <c r="J2" s="71"/>
      <c r="K2" s="71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71"/>
      <c r="AL2" s="71"/>
      <c r="AM2" s="71"/>
    </row>
    <row r="3" spans="3:60" s="73" customFormat="1" ht="17.5" customHeight="1">
      <c r="C3" s="347" t="s">
        <v>85</v>
      </c>
      <c r="D3" s="347"/>
      <c r="E3" s="347"/>
      <c r="F3" s="347"/>
      <c r="G3" s="347"/>
      <c r="H3" s="347"/>
      <c r="I3" s="347"/>
      <c r="K3" s="333" t="s">
        <v>0</v>
      </c>
      <c r="L3" s="334"/>
      <c r="M3" s="335" t="s">
        <v>1</v>
      </c>
      <c r="N3" s="336"/>
      <c r="O3" s="88"/>
      <c r="P3" s="330" t="s">
        <v>3</v>
      </c>
      <c r="Q3" s="335" t="s">
        <v>40</v>
      </c>
      <c r="R3" s="336"/>
      <c r="S3" s="337" t="s">
        <v>84</v>
      </c>
      <c r="T3" s="338"/>
      <c r="U3" s="338"/>
      <c r="V3" s="338"/>
      <c r="W3" s="338"/>
      <c r="X3" s="338"/>
      <c r="Y3" s="339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3:60" s="73" customFormat="1" ht="17.5" customHeight="1">
      <c r="C4" s="347"/>
      <c r="D4" s="347"/>
      <c r="E4" s="347"/>
      <c r="F4" s="347"/>
      <c r="G4" s="347"/>
      <c r="H4" s="347"/>
      <c r="I4" s="347"/>
      <c r="K4" s="333" t="s">
        <v>2</v>
      </c>
      <c r="L4" s="334"/>
      <c r="M4" s="335" t="s">
        <v>33</v>
      </c>
      <c r="N4" s="336"/>
      <c r="O4" s="88"/>
      <c r="P4" s="331"/>
      <c r="Q4" s="340" t="s">
        <v>21</v>
      </c>
      <c r="R4" s="341"/>
      <c r="S4" s="337" t="s">
        <v>42</v>
      </c>
      <c r="T4" s="338"/>
      <c r="U4" s="338"/>
      <c r="V4" s="338"/>
      <c r="W4" s="338"/>
      <c r="X4" s="338"/>
      <c r="Y4" s="339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3:60" s="73" customFormat="1" ht="17.5" customHeight="1">
      <c r="C5" s="347"/>
      <c r="D5" s="347"/>
      <c r="E5" s="347"/>
      <c r="F5" s="347"/>
      <c r="G5" s="347"/>
      <c r="H5" s="347"/>
      <c r="I5" s="347"/>
      <c r="K5" s="333" t="s">
        <v>5</v>
      </c>
      <c r="L5" s="334"/>
      <c r="M5" s="345">
        <v>46062</v>
      </c>
      <c r="N5" s="346"/>
      <c r="O5" s="88"/>
      <c r="P5" s="331"/>
      <c r="Q5" s="340" t="s">
        <v>31</v>
      </c>
      <c r="R5" s="341"/>
      <c r="S5" s="337" t="s">
        <v>83</v>
      </c>
      <c r="T5" s="338"/>
      <c r="U5" s="338"/>
      <c r="V5" s="338"/>
      <c r="W5" s="338"/>
      <c r="X5" s="338"/>
      <c r="Y5" s="339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O5" s="74"/>
    </row>
    <row r="6" spans="3:60" s="73" customFormat="1" ht="18" customHeight="1">
      <c r="C6" s="347"/>
      <c r="D6" s="347"/>
      <c r="E6" s="347"/>
      <c r="F6" s="347"/>
      <c r="G6" s="347"/>
      <c r="H6" s="347"/>
      <c r="I6" s="347"/>
      <c r="K6" s="333" t="s">
        <v>34</v>
      </c>
      <c r="L6" s="334"/>
      <c r="M6" s="345">
        <v>46062</v>
      </c>
      <c r="N6" s="346"/>
      <c r="O6" s="94"/>
      <c r="P6" s="332"/>
      <c r="Q6" s="340" t="s">
        <v>20</v>
      </c>
      <c r="R6" s="341"/>
      <c r="S6" s="337" t="s">
        <v>43</v>
      </c>
      <c r="T6" s="338"/>
      <c r="U6" s="338"/>
      <c r="V6" s="338"/>
      <c r="W6" s="338"/>
      <c r="X6" s="338"/>
      <c r="Y6" s="339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94"/>
      <c r="AO6" s="74"/>
    </row>
    <row r="7" spans="3:60" s="73" customFormat="1">
      <c r="F7" s="121"/>
      <c r="G7" s="121"/>
      <c r="H7" s="121"/>
      <c r="I7" s="72"/>
      <c r="J7" s="72"/>
      <c r="K7" s="72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72"/>
      <c r="AL7" s="72"/>
      <c r="AM7" s="72"/>
      <c r="AN7" s="72"/>
      <c r="AO7" s="72">
        <f>+AO8-AO23</f>
        <v>0</v>
      </c>
    </row>
    <row r="8" spans="3:60" s="73" customFormat="1">
      <c r="E8" s="75"/>
      <c r="F8" s="122"/>
      <c r="G8" s="122"/>
      <c r="H8" s="122"/>
      <c r="I8" s="80"/>
      <c r="J8" s="80"/>
      <c r="K8" s="8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90"/>
      <c r="AK8" s="71"/>
      <c r="AL8" s="71"/>
      <c r="AM8" s="71"/>
    </row>
    <row r="9" spans="3:60" s="73" customFormat="1">
      <c r="F9" s="121"/>
      <c r="G9" s="121"/>
      <c r="H9" s="121"/>
      <c r="I9" s="81"/>
      <c r="J9" s="81"/>
      <c r="K9" s="8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81"/>
      <c r="AL9" s="81"/>
      <c r="AM9" s="81"/>
    </row>
    <row r="10" spans="3:60" s="73" customFormat="1" ht="15" thickBot="1">
      <c r="C10" s="73" t="s">
        <v>88</v>
      </c>
      <c r="F10" s="121"/>
      <c r="G10" s="121"/>
      <c r="H10" s="121"/>
      <c r="I10" s="81"/>
      <c r="J10" s="83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92"/>
      <c r="AF10" s="92"/>
      <c r="AG10" s="92"/>
      <c r="AH10" s="92"/>
      <c r="AI10" s="92"/>
      <c r="AJ10" s="81"/>
      <c r="AK10" s="82"/>
      <c r="AL10" s="82"/>
      <c r="AM10" s="82"/>
    </row>
    <row r="11" spans="3:60" s="2" customFormat="1" ht="31.5" customHeight="1" thickBot="1">
      <c r="C11" s="348" t="s">
        <v>7</v>
      </c>
      <c r="D11" s="349"/>
      <c r="E11" s="350"/>
      <c r="F11" s="84">
        <v>2026</v>
      </c>
      <c r="G11" s="84" t="s">
        <v>70</v>
      </c>
      <c r="H11" s="84" t="s">
        <v>86</v>
      </c>
      <c r="I11" s="135">
        <v>1</v>
      </c>
      <c r="J11" s="68">
        <v>2</v>
      </c>
      <c r="K11" s="68">
        <v>3</v>
      </c>
      <c r="L11" s="68">
        <v>4</v>
      </c>
      <c r="M11" s="68">
        <v>5</v>
      </c>
      <c r="N11" s="68">
        <v>6</v>
      </c>
      <c r="O11" s="68">
        <v>7</v>
      </c>
      <c r="P11" s="135">
        <v>8</v>
      </c>
      <c r="Q11" s="68">
        <v>9</v>
      </c>
      <c r="R11" s="68">
        <v>10</v>
      </c>
      <c r="S11" s="68">
        <v>11</v>
      </c>
      <c r="T11" s="68">
        <v>12</v>
      </c>
      <c r="U11" s="68">
        <v>13</v>
      </c>
      <c r="V11" s="68">
        <v>14</v>
      </c>
      <c r="W11" s="135">
        <v>15</v>
      </c>
      <c r="X11" s="68">
        <v>16</v>
      </c>
      <c r="Y11" s="68">
        <v>17</v>
      </c>
      <c r="Z11" s="68">
        <v>18</v>
      </c>
      <c r="AA11" s="68">
        <v>19</v>
      </c>
      <c r="AB11" s="68">
        <v>20</v>
      </c>
      <c r="AC11" s="68">
        <v>21</v>
      </c>
      <c r="AD11" s="135">
        <v>22</v>
      </c>
      <c r="AE11" s="68">
        <v>23</v>
      </c>
      <c r="AF11" s="68">
        <v>24</v>
      </c>
      <c r="AG11" s="68">
        <v>25</v>
      </c>
      <c r="AH11" s="68">
        <v>26</v>
      </c>
      <c r="AI11" s="68">
        <v>27</v>
      </c>
      <c r="AJ11" s="68">
        <v>28</v>
      </c>
      <c r="AK11" s="68">
        <v>29</v>
      </c>
      <c r="AL11" s="68">
        <v>30</v>
      </c>
      <c r="AM11" s="68">
        <v>31</v>
      </c>
      <c r="AN11" s="1"/>
      <c r="AO11" s="1"/>
      <c r="AP11" s="1"/>
    </row>
    <row r="12" spans="3:60" s="2" customFormat="1" ht="31.5" hidden="1" customHeight="1" thickBot="1">
      <c r="C12" s="77"/>
      <c r="D12" s="190"/>
      <c r="E12" s="78"/>
      <c r="F12" s="123"/>
      <c r="G12" s="123"/>
      <c r="H12" s="123"/>
      <c r="I12" s="260" t="s">
        <v>36</v>
      </c>
      <c r="J12" s="159" t="s">
        <v>37</v>
      </c>
      <c r="K12" s="159" t="s">
        <v>37</v>
      </c>
      <c r="L12" s="159" t="s">
        <v>37</v>
      </c>
      <c r="M12" s="159" t="s">
        <v>37</v>
      </c>
      <c r="N12" s="159" t="s">
        <v>37</v>
      </c>
      <c r="O12" s="159" t="s">
        <v>37</v>
      </c>
      <c r="P12" s="260" t="s">
        <v>36</v>
      </c>
      <c r="Q12" s="159" t="s">
        <v>37</v>
      </c>
      <c r="R12" s="159" t="s">
        <v>37</v>
      </c>
      <c r="S12" s="159" t="s">
        <v>37</v>
      </c>
      <c r="T12" s="159" t="s">
        <v>37</v>
      </c>
      <c r="U12" s="159" t="s">
        <v>37</v>
      </c>
      <c r="V12" s="159" t="s">
        <v>37</v>
      </c>
      <c r="W12" s="260" t="s">
        <v>36</v>
      </c>
      <c r="X12" s="159" t="s">
        <v>37</v>
      </c>
      <c r="Y12" s="159" t="s">
        <v>37</v>
      </c>
      <c r="Z12" s="159" t="s">
        <v>37</v>
      </c>
      <c r="AA12" s="159" t="s">
        <v>37</v>
      </c>
      <c r="AB12" s="159" t="s">
        <v>37</v>
      </c>
      <c r="AC12" s="159" t="s">
        <v>37</v>
      </c>
      <c r="AD12" s="260" t="s">
        <v>36</v>
      </c>
      <c r="AE12" s="159" t="s">
        <v>37</v>
      </c>
      <c r="AF12" s="159" t="s">
        <v>37</v>
      </c>
      <c r="AG12" s="159" t="s">
        <v>37</v>
      </c>
      <c r="AH12" s="159" t="s">
        <v>37</v>
      </c>
      <c r="AI12" s="159" t="s">
        <v>37</v>
      </c>
      <c r="AJ12" s="159" t="s">
        <v>37</v>
      </c>
      <c r="AK12" s="159"/>
      <c r="AL12" s="159"/>
      <c r="AM12" s="159"/>
      <c r="AN12" s="1"/>
      <c r="AO12" s="1"/>
      <c r="AP12" s="1"/>
    </row>
    <row r="13" spans="3:60" s="2" customFormat="1" ht="25" customHeight="1">
      <c r="C13" s="298" t="s">
        <v>8</v>
      </c>
      <c r="D13" s="191"/>
      <c r="E13" s="189" t="s">
        <v>9</v>
      </c>
      <c r="F13" s="124">
        <f>AVERAGE(G13:H13)</f>
        <v>592.19230769230774</v>
      </c>
      <c r="G13" s="124">
        <v>1184.3846153846155</v>
      </c>
      <c r="H13" s="124">
        <f>IFERROR(AVERAGEIFS(I13:AM13,I13:AM13,"&gt;0.01",$I$12:$AM$12,"No Sunday"),0)</f>
        <v>0</v>
      </c>
      <c r="I13" s="99">
        <f t="shared" ref="I13" si="0">SUM(I14:I17)</f>
        <v>1323</v>
      </c>
      <c r="J13" s="46"/>
      <c r="K13" s="46"/>
      <c r="L13" s="46"/>
      <c r="M13" s="46"/>
      <c r="N13" s="46"/>
      <c r="O13" s="46"/>
      <c r="P13" s="99"/>
      <c r="Q13" s="46"/>
      <c r="R13" s="46"/>
      <c r="S13" s="46"/>
      <c r="T13" s="46"/>
      <c r="U13" s="46"/>
      <c r="V13" s="46"/>
      <c r="W13" s="99"/>
      <c r="X13" s="46"/>
      <c r="Y13" s="46"/>
      <c r="Z13" s="46"/>
      <c r="AA13" s="46"/>
      <c r="AB13" s="46"/>
      <c r="AC13" s="46"/>
      <c r="AD13" s="99"/>
      <c r="AE13" s="46"/>
      <c r="AF13" s="46"/>
      <c r="AG13" s="46"/>
      <c r="AH13" s="46"/>
      <c r="AI13" s="46"/>
      <c r="AJ13" s="46"/>
      <c r="AK13" s="46"/>
      <c r="AL13" s="46"/>
      <c r="AM13" s="46"/>
      <c r="AN13" s="1"/>
      <c r="AO13" s="1"/>
      <c r="AP13" s="1"/>
    </row>
    <row r="14" spans="3:60" s="2" customFormat="1" ht="25" customHeight="1">
      <c r="C14" s="299"/>
      <c r="D14" s="318" t="s">
        <v>45</v>
      </c>
      <c r="E14" s="207" t="s">
        <v>39</v>
      </c>
      <c r="F14" s="200">
        <f t="shared" ref="F14:F17" si="1">AVERAGE(G14:H14)</f>
        <v>144.51923076923077</v>
      </c>
      <c r="G14" s="200">
        <v>289.03846153846155</v>
      </c>
      <c r="H14" s="200">
        <f>IFERROR(AVERAGEIFS(I14:AM14,I14:AM14,"&gt;100",$I$12:$AM$12,"No Sunday"),0)</f>
        <v>0</v>
      </c>
      <c r="I14" s="100">
        <f>+'01.02'!$Y$11</f>
        <v>289</v>
      </c>
      <c r="J14" s="47"/>
      <c r="K14" s="47"/>
      <c r="L14" s="47"/>
      <c r="M14" s="47"/>
      <c r="N14" s="47"/>
      <c r="O14" s="47"/>
      <c r="P14" s="100"/>
      <c r="Q14" s="47"/>
      <c r="R14" s="47"/>
      <c r="S14" s="47"/>
      <c r="T14" s="47"/>
      <c r="U14" s="47"/>
      <c r="V14" s="47"/>
      <c r="W14" s="100"/>
      <c r="X14" s="47"/>
      <c r="Y14" s="47"/>
      <c r="Z14" s="47"/>
      <c r="AA14" s="47"/>
      <c r="AB14" s="47"/>
      <c r="AC14" s="47"/>
      <c r="AD14" s="100"/>
      <c r="AE14" s="47"/>
      <c r="AF14" s="47"/>
      <c r="AG14" s="47"/>
      <c r="AH14" s="47"/>
      <c r="AI14" s="47"/>
      <c r="AJ14" s="47"/>
      <c r="AK14" s="47"/>
      <c r="AL14" s="47"/>
      <c r="AM14" s="47"/>
      <c r="BE14" s="85"/>
      <c r="BF14" s="85"/>
      <c r="BG14" s="85"/>
      <c r="BH14" s="85"/>
    </row>
    <row r="15" spans="3:60" s="2" customFormat="1" ht="25" customHeight="1">
      <c r="C15" s="299"/>
      <c r="D15" s="320"/>
      <c r="E15" s="210" t="s">
        <v>21</v>
      </c>
      <c r="F15" s="218">
        <f t="shared" si="1"/>
        <v>217.78846153846155</v>
      </c>
      <c r="G15" s="218">
        <v>435.57692307692309</v>
      </c>
      <c r="H15" s="218">
        <f>IFERROR(AVERAGEIFS(I15:AM15,I15:AM15,"&gt;200",$I$12:$AM$12,"No Sunday"),0)</f>
        <v>0</v>
      </c>
      <c r="I15" s="101">
        <f>+'01.02'!$Z$11</f>
        <v>435</v>
      </c>
      <c r="J15" s="48"/>
      <c r="K15" s="48"/>
      <c r="L15" s="48"/>
      <c r="M15" s="48"/>
      <c r="N15" s="48"/>
      <c r="O15" s="48"/>
      <c r="P15" s="101"/>
      <c r="Q15" s="48"/>
      <c r="R15" s="48"/>
      <c r="S15" s="48"/>
      <c r="T15" s="48"/>
      <c r="U15" s="48"/>
      <c r="V15" s="48"/>
      <c r="W15" s="101"/>
      <c r="X15" s="48"/>
      <c r="Y15" s="48"/>
      <c r="Z15" s="48"/>
      <c r="AA15" s="48"/>
      <c r="AB15" s="48"/>
      <c r="AC15" s="48"/>
      <c r="AD15" s="101"/>
      <c r="AE15" s="48"/>
      <c r="AF15" s="48"/>
      <c r="AG15" s="48"/>
      <c r="AH15" s="48"/>
      <c r="AI15" s="48"/>
      <c r="AJ15" s="48"/>
      <c r="AK15" s="48"/>
      <c r="AL15" s="48"/>
      <c r="AM15" s="48"/>
    </row>
    <row r="16" spans="3:60" s="2" customFormat="1" ht="25" customHeight="1">
      <c r="C16" s="299"/>
      <c r="D16" s="318" t="s">
        <v>46</v>
      </c>
      <c r="E16" s="213" t="s">
        <v>31</v>
      </c>
      <c r="F16" s="200">
        <f t="shared" si="1"/>
        <v>2.8076923076923075</v>
      </c>
      <c r="G16" s="200">
        <v>5.615384615384615</v>
      </c>
      <c r="H16" s="200">
        <f>IFERROR(AVERAGEIFS(I16:AM16,I16:AM16,"&gt;0.01",$I$12:$AM$12,"No Sunday"),0)</f>
        <v>0</v>
      </c>
      <c r="I16" s="102">
        <f>+'01.02'!$AA$11</f>
        <v>5</v>
      </c>
      <c r="J16" s="49"/>
      <c r="K16" s="49"/>
      <c r="L16" s="49"/>
      <c r="M16" s="49"/>
      <c r="N16" s="49"/>
      <c r="O16" s="49"/>
      <c r="P16" s="102"/>
      <c r="Q16" s="49"/>
      <c r="R16" s="49"/>
      <c r="S16" s="49"/>
      <c r="T16" s="49"/>
      <c r="U16" s="49"/>
      <c r="V16" s="49"/>
      <c r="W16" s="102"/>
      <c r="X16" s="49"/>
      <c r="Y16" s="49"/>
      <c r="Z16" s="49"/>
      <c r="AA16" s="49"/>
      <c r="AB16" s="49"/>
      <c r="AC16" s="49"/>
      <c r="AD16" s="102"/>
      <c r="AE16" s="49"/>
      <c r="AF16" s="49"/>
      <c r="AG16" s="49"/>
      <c r="AH16" s="49"/>
      <c r="AI16" s="49"/>
      <c r="AJ16" s="49"/>
      <c r="AK16" s="49"/>
      <c r="AL16" s="49"/>
      <c r="AM16" s="49"/>
    </row>
    <row r="17" spans="3:60" s="2" customFormat="1" ht="25" customHeight="1" thickBot="1">
      <c r="C17" s="300"/>
      <c r="D17" s="319"/>
      <c r="E17" s="214" t="s">
        <v>20</v>
      </c>
      <c r="F17" s="217">
        <f t="shared" si="1"/>
        <v>227.07692307692307</v>
      </c>
      <c r="G17" s="217">
        <v>454.15384615384613</v>
      </c>
      <c r="H17" s="217">
        <f>IFERROR(AVERAGEIFS(I17:AM17,I17:AM17,"&gt;20",$I$12:$AM$12,"No Sunday"),0)</f>
        <v>0</v>
      </c>
      <c r="I17" s="103">
        <f>+'01.02'!$AB$11</f>
        <v>594</v>
      </c>
      <c r="J17" s="50"/>
      <c r="K17" s="50"/>
      <c r="L17" s="50"/>
      <c r="M17" s="50"/>
      <c r="N17" s="50"/>
      <c r="O17" s="50"/>
      <c r="P17" s="103"/>
      <c r="Q17" s="50"/>
      <c r="R17" s="50"/>
      <c r="S17" s="50"/>
      <c r="T17" s="50"/>
      <c r="U17" s="50"/>
      <c r="V17" s="50"/>
      <c r="W17" s="103"/>
      <c r="X17" s="50"/>
      <c r="Y17" s="50"/>
      <c r="Z17" s="50"/>
      <c r="AA17" s="50"/>
      <c r="AB17" s="50"/>
      <c r="AC17" s="50"/>
      <c r="AD17" s="103"/>
      <c r="AE17" s="50"/>
      <c r="AF17" s="50"/>
      <c r="AG17" s="50"/>
      <c r="AH17" s="50"/>
      <c r="AI17" s="50"/>
      <c r="AJ17" s="50"/>
      <c r="AK17" s="50"/>
      <c r="AL17" s="50"/>
      <c r="AM17" s="50"/>
    </row>
    <row r="18" spans="3:60" s="2" customFormat="1" ht="25" customHeight="1">
      <c r="C18" s="298" t="s">
        <v>69</v>
      </c>
      <c r="D18" s="191"/>
      <c r="E18" s="189" t="s">
        <v>9</v>
      </c>
      <c r="F18" s="132">
        <f>AVERAGE(I18:I18)</f>
        <v>1</v>
      </c>
      <c r="G18" s="132">
        <v>1</v>
      </c>
      <c r="H18" s="132">
        <f>AVERAGE(I18:M18,O18:T18,V18:AA18,AC18:AH18,AJ18:AM18)</f>
        <v>1</v>
      </c>
      <c r="I18" s="238">
        <f t="shared" ref="I18" si="2">SUM(I19:I22)</f>
        <v>1</v>
      </c>
      <c r="J18" s="234"/>
      <c r="K18" s="234"/>
      <c r="L18" s="234"/>
      <c r="M18" s="234"/>
      <c r="N18" s="234"/>
      <c r="O18" s="234"/>
      <c r="P18" s="238"/>
      <c r="Q18" s="234"/>
      <c r="R18" s="234"/>
      <c r="S18" s="234"/>
      <c r="T18" s="234"/>
      <c r="U18" s="234"/>
      <c r="V18" s="234"/>
      <c r="W18" s="238"/>
      <c r="X18" s="234"/>
      <c r="Y18" s="234"/>
      <c r="Z18" s="234"/>
      <c r="AA18" s="234"/>
      <c r="AB18" s="234"/>
      <c r="AC18" s="234"/>
      <c r="AD18" s="238"/>
      <c r="AE18" s="234"/>
      <c r="AF18" s="234"/>
      <c r="AG18" s="234"/>
      <c r="AH18" s="234"/>
      <c r="AI18" s="234"/>
      <c r="AJ18" s="234"/>
      <c r="AK18" s="234"/>
      <c r="AL18" s="234"/>
      <c r="AM18" s="234"/>
      <c r="AN18" s="1"/>
      <c r="AO18" s="1"/>
      <c r="AP18" s="1"/>
    </row>
    <row r="19" spans="3:60" s="2" customFormat="1" ht="25" customHeight="1">
      <c r="C19" s="299"/>
      <c r="D19" s="318" t="s">
        <v>45</v>
      </c>
      <c r="E19" s="207" t="s">
        <v>39</v>
      </c>
      <c r="F19" s="209">
        <f>AVERAGE(G19:H19)</f>
        <v>0.2312537569744354</v>
      </c>
      <c r="G19" s="209">
        <v>0.24406458122022381</v>
      </c>
      <c r="H19" s="209">
        <f t="shared" ref="H19:H22" si="3">AVERAGE(I19:M19,O19:T19,V19:AA19,AC19:AH19,AJ19:AM19)</f>
        <v>0.21844293272864701</v>
      </c>
      <c r="I19" s="238">
        <f>+I14/$I$13</f>
        <v>0.21844293272864701</v>
      </c>
      <c r="J19" s="234"/>
      <c r="K19" s="234"/>
      <c r="L19" s="234"/>
      <c r="M19" s="234"/>
      <c r="N19" s="234"/>
      <c r="O19" s="234"/>
      <c r="P19" s="238"/>
      <c r="Q19" s="234"/>
      <c r="R19" s="234"/>
      <c r="S19" s="234"/>
      <c r="T19" s="234"/>
      <c r="U19" s="234"/>
      <c r="V19" s="234"/>
      <c r="W19" s="238"/>
      <c r="X19" s="234"/>
      <c r="Y19" s="234"/>
      <c r="Z19" s="234"/>
      <c r="AA19" s="234"/>
      <c r="AB19" s="234"/>
      <c r="AC19" s="234"/>
      <c r="AD19" s="238"/>
      <c r="AE19" s="234"/>
      <c r="AF19" s="234"/>
      <c r="AG19" s="234"/>
      <c r="AH19" s="234"/>
      <c r="AI19" s="234"/>
      <c r="AJ19" s="234"/>
      <c r="AK19" s="234"/>
      <c r="AL19" s="234"/>
      <c r="AM19" s="234"/>
      <c r="BE19" s="85"/>
      <c r="BF19" s="85"/>
      <c r="BG19" s="85"/>
      <c r="BH19" s="85"/>
    </row>
    <row r="20" spans="3:60" s="2" customFormat="1" ht="25" customHeight="1">
      <c r="C20" s="299"/>
      <c r="D20" s="320"/>
      <c r="E20" s="210" t="s">
        <v>21</v>
      </c>
      <c r="F20" s="212">
        <f t="shared" ref="F20:F22" si="4">AVERAGE(G20:H20)</f>
        <v>0.34844808357943463</v>
      </c>
      <c r="G20" s="212">
        <v>0.36809798121782616</v>
      </c>
      <c r="H20" s="212">
        <f t="shared" si="3"/>
        <v>0.3287981859410431</v>
      </c>
      <c r="I20" s="239">
        <f t="shared" ref="I20:I22" si="5">+I15/$I$13</f>
        <v>0.3287981859410431</v>
      </c>
      <c r="J20" s="235"/>
      <c r="K20" s="235"/>
      <c r="L20" s="235"/>
      <c r="M20" s="235"/>
      <c r="N20" s="235"/>
      <c r="O20" s="235"/>
      <c r="P20" s="239"/>
      <c r="Q20" s="235"/>
      <c r="R20" s="235"/>
      <c r="S20" s="235"/>
      <c r="T20" s="235"/>
      <c r="U20" s="235"/>
      <c r="V20" s="235"/>
      <c r="W20" s="239"/>
      <c r="X20" s="235"/>
      <c r="Y20" s="235"/>
      <c r="Z20" s="235"/>
      <c r="AA20" s="235"/>
      <c r="AB20" s="235"/>
      <c r="AC20" s="235"/>
      <c r="AD20" s="239"/>
      <c r="AE20" s="235"/>
      <c r="AF20" s="235"/>
      <c r="AG20" s="235"/>
      <c r="AH20" s="235"/>
      <c r="AI20" s="235"/>
      <c r="AJ20" s="235"/>
      <c r="AK20" s="235"/>
      <c r="AL20" s="235"/>
      <c r="AM20" s="235"/>
    </row>
    <row r="21" spans="3:60" s="2" customFormat="1" ht="25" customHeight="1">
      <c r="C21" s="299"/>
      <c r="D21" s="318" t="s">
        <v>46</v>
      </c>
      <c r="E21" s="213" t="s">
        <v>31</v>
      </c>
      <c r="F21" s="209">
        <f t="shared" si="4"/>
        <v>4.2769340196168659E-3</v>
      </c>
      <c r="G21" s="209">
        <v>4.7745785456585234E-3</v>
      </c>
      <c r="H21" s="209">
        <f t="shared" si="3"/>
        <v>3.779289493575208E-3</v>
      </c>
      <c r="I21" s="240">
        <f t="shared" si="5"/>
        <v>3.779289493575208E-3</v>
      </c>
      <c r="J21" s="236"/>
      <c r="K21" s="236"/>
      <c r="L21" s="236"/>
      <c r="M21" s="236"/>
      <c r="N21" s="236"/>
      <c r="O21" s="236"/>
      <c r="P21" s="240"/>
      <c r="Q21" s="236"/>
      <c r="R21" s="236"/>
      <c r="S21" s="236"/>
      <c r="T21" s="236"/>
      <c r="U21" s="236"/>
      <c r="V21" s="236"/>
      <c r="W21" s="240"/>
      <c r="X21" s="236"/>
      <c r="Y21" s="236"/>
      <c r="Z21" s="236"/>
      <c r="AA21" s="236"/>
      <c r="AB21" s="236"/>
      <c r="AC21" s="236"/>
      <c r="AD21" s="240"/>
      <c r="AE21" s="236"/>
      <c r="AF21" s="236"/>
      <c r="AG21" s="236"/>
      <c r="AH21" s="236"/>
      <c r="AI21" s="236"/>
      <c r="AJ21" s="236"/>
      <c r="AK21" s="236"/>
      <c r="AL21" s="236"/>
      <c r="AM21" s="236"/>
      <c r="AQ21" s="242"/>
    </row>
    <row r="22" spans="3:60" s="2" customFormat="1" ht="25" customHeight="1" thickBot="1">
      <c r="C22" s="300"/>
      <c r="D22" s="319"/>
      <c r="E22" s="214" t="s">
        <v>20</v>
      </c>
      <c r="F22" s="216">
        <f t="shared" si="4"/>
        <v>0.41602122542651304</v>
      </c>
      <c r="G22" s="216">
        <v>0.38306285901629139</v>
      </c>
      <c r="H22" s="216">
        <f t="shared" si="3"/>
        <v>0.44897959183673469</v>
      </c>
      <c r="I22" s="241">
        <f t="shared" si="5"/>
        <v>0.44897959183673469</v>
      </c>
      <c r="J22" s="237"/>
      <c r="K22" s="237"/>
      <c r="L22" s="237"/>
      <c r="M22" s="237"/>
      <c r="N22" s="237"/>
      <c r="O22" s="237"/>
      <c r="P22" s="241"/>
      <c r="Q22" s="237"/>
      <c r="R22" s="237"/>
      <c r="S22" s="237"/>
      <c r="T22" s="237"/>
      <c r="U22" s="237"/>
      <c r="V22" s="237"/>
      <c r="W22" s="241"/>
      <c r="X22" s="237"/>
      <c r="Y22" s="237"/>
      <c r="Z22" s="237"/>
      <c r="AA22" s="237"/>
      <c r="AB22" s="237"/>
      <c r="AC22" s="237"/>
      <c r="AD22" s="241"/>
      <c r="AE22" s="237"/>
      <c r="AF22" s="237"/>
      <c r="AG22" s="237"/>
      <c r="AH22" s="237"/>
      <c r="AI22" s="237"/>
      <c r="AJ22" s="237"/>
      <c r="AK22" s="237"/>
      <c r="AL22" s="237"/>
      <c r="AM22" s="237"/>
    </row>
    <row r="23" spans="3:60" s="2" customFormat="1" ht="25" customHeight="1">
      <c r="C23" s="298" t="s">
        <v>47</v>
      </c>
      <c r="D23" s="191"/>
      <c r="E23" s="193" t="s">
        <v>9</v>
      </c>
      <c r="F23" s="124">
        <f>SUM(F25:F28)</f>
        <v>521.40384615384619</v>
      </c>
      <c r="G23" s="124">
        <v>1043.4615384615383</v>
      </c>
      <c r="H23" s="124">
        <f>SUM(H25:H28)</f>
        <v>0</v>
      </c>
      <c r="I23" s="104">
        <f t="shared" ref="I23" si="6">SUM(I25:I28)</f>
        <v>1323</v>
      </c>
      <c r="J23" s="51"/>
      <c r="K23" s="51"/>
      <c r="L23" s="51"/>
      <c r="M23" s="51"/>
      <c r="N23" s="51"/>
      <c r="O23" s="51"/>
      <c r="P23" s="104"/>
      <c r="Q23" s="51"/>
      <c r="R23" s="51"/>
      <c r="S23" s="51"/>
      <c r="T23" s="51"/>
      <c r="U23" s="51"/>
      <c r="V23" s="51"/>
      <c r="W23" s="104"/>
      <c r="X23" s="51"/>
      <c r="Y23" s="51"/>
      <c r="Z23" s="51"/>
      <c r="AA23" s="51"/>
      <c r="AB23" s="51"/>
      <c r="AC23" s="51"/>
      <c r="AD23" s="104"/>
      <c r="AE23" s="51"/>
      <c r="AF23" s="51"/>
      <c r="AG23" s="51"/>
      <c r="AH23" s="51"/>
      <c r="AI23" s="51"/>
      <c r="AJ23" s="51"/>
      <c r="AK23" s="51"/>
      <c r="AL23" s="51"/>
      <c r="AM23" s="51"/>
      <c r="AU23" s="221"/>
    </row>
    <row r="24" spans="3:60" s="85" customFormat="1" ht="25.5" customHeight="1">
      <c r="C24" s="299"/>
      <c r="D24" s="351" t="s">
        <v>35</v>
      </c>
      <c r="E24" s="352"/>
      <c r="F24" s="244">
        <f>AVERAGE(G24:J24)</f>
        <v>-46.974358974359042</v>
      </c>
      <c r="G24" s="126">
        <v>-140.92307692307713</v>
      </c>
      <c r="H24" s="126">
        <f>H23-H13</f>
        <v>0</v>
      </c>
      <c r="I24" s="262">
        <f t="shared" ref="I24" si="7">I23-I13</f>
        <v>0</v>
      </c>
      <c r="J24" s="262"/>
      <c r="K24" s="262"/>
      <c r="L24" s="262"/>
      <c r="M24" s="262"/>
      <c r="N24" s="262"/>
      <c r="O24" s="262"/>
      <c r="P24" s="262"/>
      <c r="Q24" s="262"/>
      <c r="R24" s="263"/>
      <c r="S24" s="263"/>
      <c r="T24" s="263"/>
      <c r="U24" s="263"/>
      <c r="V24" s="263"/>
      <c r="W24" s="220"/>
      <c r="X24" s="263"/>
      <c r="Y24" s="263"/>
      <c r="Z24" s="263"/>
      <c r="AA24" s="263"/>
      <c r="AB24" s="263"/>
      <c r="AC24" s="263"/>
      <c r="AD24" s="220"/>
      <c r="AE24" s="263"/>
      <c r="AF24" s="263"/>
      <c r="AG24" s="263"/>
      <c r="AH24" s="263"/>
      <c r="AI24" s="263"/>
      <c r="AJ24" s="263"/>
      <c r="AK24" s="263"/>
      <c r="AL24" s="263"/>
      <c r="AM24" s="263"/>
      <c r="AP24" s="243"/>
      <c r="AQ24" s="2"/>
      <c r="AR24" s="2"/>
      <c r="AS24" s="222"/>
      <c r="AT24" s="2"/>
      <c r="AU24" s="2"/>
      <c r="AV24" s="2"/>
      <c r="AW24" s="222"/>
      <c r="AX24" s="2"/>
      <c r="AY24" s="2"/>
      <c r="AZ24" s="2"/>
      <c r="BA24" s="2"/>
      <c r="BB24" s="2"/>
      <c r="BC24" s="2"/>
      <c r="BE24" s="2"/>
      <c r="BF24" s="2"/>
      <c r="BG24" s="2"/>
      <c r="BH24" s="2"/>
    </row>
    <row r="25" spans="3:60" s="2" customFormat="1" ht="25" customHeight="1">
      <c r="C25" s="299"/>
      <c r="D25" s="318" t="s">
        <v>45</v>
      </c>
      <c r="E25" s="219" t="s">
        <v>41</v>
      </c>
      <c r="F25" s="200">
        <f>AVERAGE(G25:H25)</f>
        <v>137.63461538461539</v>
      </c>
      <c r="G25" s="200">
        <v>275.26923076923077</v>
      </c>
      <c r="H25" s="200">
        <f>IFERROR(AVERAGEIFS(I25:AM25,I25:AM25,"&gt;60",$I$12:$AM$12,"No Sunday"),0)</f>
        <v>0</v>
      </c>
      <c r="I25" s="100">
        <f>+'01.02'!$Y$12</f>
        <v>289</v>
      </c>
      <c r="J25" s="47"/>
      <c r="K25" s="47"/>
      <c r="L25" s="47"/>
      <c r="M25" s="47"/>
      <c r="N25" s="47"/>
      <c r="O25" s="47"/>
      <c r="P25" s="100"/>
      <c r="Q25" s="47"/>
      <c r="R25" s="47"/>
      <c r="S25" s="47"/>
      <c r="T25" s="47"/>
      <c r="U25" s="47"/>
      <c r="V25" s="47"/>
      <c r="W25" s="100"/>
      <c r="X25" s="47"/>
      <c r="Y25" s="47"/>
      <c r="Z25" s="47"/>
      <c r="AA25" s="47"/>
      <c r="AB25" s="47"/>
      <c r="AC25" s="47"/>
      <c r="AD25" s="100"/>
      <c r="AE25" s="47"/>
      <c r="AF25" s="47"/>
      <c r="AG25" s="47"/>
      <c r="AH25" s="47"/>
      <c r="AI25" s="47"/>
      <c r="AJ25" s="47"/>
      <c r="AK25" s="47"/>
      <c r="AL25" s="47"/>
      <c r="AM25" s="47"/>
    </row>
    <row r="26" spans="3:60" s="2" customFormat="1" ht="25" customHeight="1">
      <c r="C26" s="299"/>
      <c r="D26" s="320"/>
      <c r="E26" s="210" t="s">
        <v>21</v>
      </c>
      <c r="F26" s="218">
        <f t="shared" ref="F26:F28" si="8">AVERAGE(G26:H26)</f>
        <v>208.88461538461539</v>
      </c>
      <c r="G26" s="218">
        <v>417.76923076923077</v>
      </c>
      <c r="H26" s="218">
        <f>IFERROR(AVERAGEIFS(I26:AM26,I26:AM26,"&gt;200",$I$12:$AM$12,"No Sunday"),0)</f>
        <v>0</v>
      </c>
      <c r="I26" s="101">
        <f>+'01.02'!$Z$12</f>
        <v>435</v>
      </c>
      <c r="J26" s="48"/>
      <c r="K26" s="48"/>
      <c r="L26" s="48"/>
      <c r="M26" s="48"/>
      <c r="N26" s="48"/>
      <c r="O26" s="48"/>
      <c r="P26" s="101"/>
      <c r="Q26" s="48"/>
      <c r="R26" s="48"/>
      <c r="S26" s="48"/>
      <c r="T26" s="48"/>
      <c r="U26" s="48"/>
      <c r="V26" s="48"/>
      <c r="W26" s="101"/>
      <c r="X26" s="48"/>
      <c r="Y26" s="48"/>
      <c r="Z26" s="48"/>
      <c r="AA26" s="48"/>
      <c r="AB26" s="48"/>
      <c r="AC26" s="48"/>
      <c r="AD26" s="101"/>
      <c r="AE26" s="48"/>
      <c r="AF26" s="48"/>
      <c r="AG26" s="48"/>
      <c r="AH26" s="48"/>
      <c r="AI26" s="48"/>
      <c r="AJ26" s="48"/>
      <c r="AK26" s="48"/>
      <c r="AL26" s="48"/>
      <c r="AM26" s="48"/>
    </row>
    <row r="27" spans="3:60" s="2" customFormat="1" ht="25" customHeight="1">
      <c r="C27" s="299"/>
      <c r="D27" s="318" t="s">
        <v>46</v>
      </c>
      <c r="E27" s="213" t="s">
        <v>31</v>
      </c>
      <c r="F27" s="200">
        <f t="shared" si="8"/>
        <v>2.3846153846153846</v>
      </c>
      <c r="G27" s="200">
        <v>4.7692307692307692</v>
      </c>
      <c r="H27" s="200">
        <f>IFERROR(AVERAGEIFS(I27:AM27,I27:AM27,"&gt;0.01",$I$12:$AM$12,"No Sunday"),0)</f>
        <v>0</v>
      </c>
      <c r="I27" s="102">
        <f>+'01.02'!$AA$12</f>
        <v>5</v>
      </c>
      <c r="J27" s="49"/>
      <c r="K27" s="49"/>
      <c r="L27" s="49"/>
      <c r="M27" s="49"/>
      <c r="N27" s="49"/>
      <c r="O27" s="49"/>
      <c r="P27" s="102"/>
      <c r="Q27" s="49"/>
      <c r="R27" s="49"/>
      <c r="S27" s="49"/>
      <c r="T27" s="49"/>
      <c r="U27" s="49"/>
      <c r="V27" s="49"/>
      <c r="W27" s="102"/>
      <c r="X27" s="49"/>
      <c r="Y27" s="49"/>
      <c r="Z27" s="49"/>
      <c r="AA27" s="49"/>
      <c r="AB27" s="49"/>
      <c r="AC27" s="49"/>
      <c r="AD27" s="102"/>
      <c r="AE27" s="49"/>
      <c r="AF27" s="49"/>
      <c r="AG27" s="49"/>
      <c r="AH27" s="49"/>
      <c r="AI27" s="49"/>
      <c r="AJ27" s="49"/>
      <c r="AK27" s="49"/>
      <c r="AL27" s="49"/>
      <c r="AM27" s="49"/>
    </row>
    <row r="28" spans="3:60" s="2" customFormat="1" ht="25" customHeight="1" thickBot="1">
      <c r="C28" s="300"/>
      <c r="D28" s="319"/>
      <c r="E28" s="214" t="s">
        <v>20</v>
      </c>
      <c r="F28" s="217">
        <f t="shared" si="8"/>
        <v>172.5</v>
      </c>
      <c r="G28" s="217">
        <v>345</v>
      </c>
      <c r="H28" s="217">
        <f>IFERROR(AVERAGEIFS(I28:AM28,I28:AM28,"&gt;30",$I$12:$AM$12,"No Sunday"),0)</f>
        <v>0</v>
      </c>
      <c r="I28" s="103">
        <f>+'01.02'!$AB$12</f>
        <v>594</v>
      </c>
      <c r="J28" s="50"/>
      <c r="K28" s="50"/>
      <c r="L28" s="50"/>
      <c r="M28" s="50"/>
      <c r="N28" s="50"/>
      <c r="O28" s="50"/>
      <c r="P28" s="103"/>
      <c r="Q28" s="50"/>
      <c r="R28" s="50"/>
      <c r="S28" s="50"/>
      <c r="T28" s="50"/>
      <c r="U28" s="50"/>
      <c r="V28" s="50"/>
      <c r="W28" s="103"/>
      <c r="X28" s="50"/>
      <c r="Y28" s="50"/>
      <c r="Z28" s="50"/>
      <c r="AA28" s="50"/>
      <c r="AB28" s="50"/>
      <c r="AC28" s="50"/>
      <c r="AD28" s="103"/>
      <c r="AE28" s="50"/>
      <c r="AF28" s="50"/>
      <c r="AG28" s="50"/>
      <c r="AH28" s="50"/>
      <c r="AI28" s="50"/>
      <c r="AJ28" s="50"/>
      <c r="AK28" s="50"/>
      <c r="AL28" s="50"/>
      <c r="AM28" s="50"/>
      <c r="AR28" s="243"/>
    </row>
    <row r="29" spans="3:60" s="2" customFormat="1" ht="25" customHeight="1">
      <c r="C29" s="298" t="s">
        <v>48</v>
      </c>
      <c r="D29" s="190"/>
      <c r="E29" s="189" t="s">
        <v>9</v>
      </c>
      <c r="F29" s="127">
        <f>AVERAGE(G29:H29)</f>
        <v>0.44050789114762606</v>
      </c>
      <c r="G29" s="127">
        <v>0.88101578229525213</v>
      </c>
      <c r="H29" s="127">
        <f>IFERROR((H23/H13),0)</f>
        <v>0</v>
      </c>
      <c r="I29" s="105">
        <f t="shared" ref="I29" si="9">IFERROR(I23/I13,0)</f>
        <v>1</v>
      </c>
      <c r="J29" s="52"/>
      <c r="K29" s="52"/>
      <c r="L29" s="52"/>
      <c r="M29" s="52"/>
      <c r="N29" s="52"/>
      <c r="O29" s="52"/>
      <c r="P29" s="105"/>
      <c r="Q29" s="52"/>
      <c r="R29" s="52"/>
      <c r="S29" s="52"/>
      <c r="T29" s="52"/>
      <c r="U29" s="52"/>
      <c r="V29" s="52"/>
      <c r="W29" s="105"/>
      <c r="X29" s="52"/>
      <c r="Y29" s="52"/>
      <c r="Z29" s="52"/>
      <c r="AA29" s="52"/>
      <c r="AB29" s="52"/>
      <c r="AC29" s="52"/>
      <c r="AD29" s="105"/>
      <c r="AE29" s="52"/>
      <c r="AF29" s="52"/>
      <c r="AG29" s="52"/>
      <c r="AH29" s="52"/>
      <c r="AI29" s="52"/>
      <c r="AJ29" s="52"/>
      <c r="AK29" s="52"/>
      <c r="AL29" s="52"/>
      <c r="AM29" s="52"/>
      <c r="AW29" s="222"/>
    </row>
    <row r="30" spans="3:60" s="2" customFormat="1" ht="25" customHeight="1">
      <c r="C30" s="299"/>
      <c r="D30" s="318" t="s">
        <v>45</v>
      </c>
      <c r="E30" s="207" t="s">
        <v>40</v>
      </c>
      <c r="F30" s="208">
        <f t="shared" ref="F30:F33" si="10">AVERAGE(G30:H30)</f>
        <v>0.47618097139055221</v>
      </c>
      <c r="G30" s="208">
        <v>0.95236194278110442</v>
      </c>
      <c r="H30" s="208">
        <f t="shared" ref="H30:H33" si="11">IFERROR((H25/H14),0)</f>
        <v>0</v>
      </c>
      <c r="I30" s="106">
        <f t="shared" ref="I30" si="12">IFERROR(I25/I14,0)</f>
        <v>1</v>
      </c>
      <c r="J30" s="53"/>
      <c r="K30" s="53"/>
      <c r="L30" s="53"/>
      <c r="M30" s="53"/>
      <c r="N30" s="53"/>
      <c r="O30" s="53"/>
      <c r="P30" s="106"/>
      <c r="Q30" s="53"/>
      <c r="R30" s="53"/>
      <c r="S30" s="53"/>
      <c r="T30" s="53"/>
      <c r="U30" s="53"/>
      <c r="V30" s="53"/>
      <c r="W30" s="106"/>
      <c r="X30" s="53"/>
      <c r="Y30" s="53"/>
      <c r="Z30" s="53"/>
      <c r="AA30" s="53"/>
      <c r="AB30" s="53"/>
      <c r="AC30" s="53"/>
      <c r="AD30" s="106"/>
      <c r="AE30" s="53"/>
      <c r="AF30" s="53"/>
      <c r="AG30" s="53"/>
      <c r="AH30" s="53"/>
      <c r="AI30" s="53"/>
      <c r="AJ30" s="53"/>
      <c r="AK30" s="53"/>
      <c r="AL30" s="53"/>
      <c r="AM30" s="53"/>
    </row>
    <row r="31" spans="3:60" s="2" customFormat="1" ht="25" customHeight="1">
      <c r="C31" s="299"/>
      <c r="D31" s="320"/>
      <c r="E31" s="210" t="s">
        <v>21</v>
      </c>
      <c r="F31" s="211">
        <f t="shared" si="10"/>
        <v>0.47955849889624724</v>
      </c>
      <c r="G31" s="211">
        <v>0.95911699779249449</v>
      </c>
      <c r="H31" s="211">
        <f t="shared" si="11"/>
        <v>0</v>
      </c>
      <c r="I31" s="107">
        <f t="shared" ref="I31" si="13">IFERROR(I26/I15,0)</f>
        <v>1</v>
      </c>
      <c r="J31" s="54"/>
      <c r="K31" s="54"/>
      <c r="L31" s="54"/>
      <c r="M31" s="54"/>
      <c r="N31" s="54"/>
      <c r="O31" s="54"/>
      <c r="P31" s="107"/>
      <c r="Q31" s="54"/>
      <c r="R31" s="54"/>
      <c r="S31" s="54"/>
      <c r="T31" s="54"/>
      <c r="U31" s="54"/>
      <c r="V31" s="54"/>
      <c r="W31" s="107"/>
      <c r="X31" s="54"/>
      <c r="Y31" s="54"/>
      <c r="Z31" s="54"/>
      <c r="AA31" s="54"/>
      <c r="AB31" s="54"/>
      <c r="AC31" s="54"/>
      <c r="AD31" s="107"/>
      <c r="AE31" s="54"/>
      <c r="AF31" s="54"/>
      <c r="AG31" s="54"/>
      <c r="AH31" s="54"/>
      <c r="AI31" s="54"/>
      <c r="AJ31" s="54"/>
      <c r="AK31" s="54"/>
      <c r="AL31" s="54"/>
      <c r="AM31" s="54"/>
    </row>
    <row r="32" spans="3:60" s="2" customFormat="1" ht="25" customHeight="1">
      <c r="C32" s="299"/>
      <c r="D32" s="318" t="s">
        <v>46</v>
      </c>
      <c r="E32" s="213" t="s">
        <v>31</v>
      </c>
      <c r="F32" s="208">
        <f t="shared" si="10"/>
        <v>0.42465753424657537</v>
      </c>
      <c r="G32" s="208">
        <v>0.84931506849315075</v>
      </c>
      <c r="H32" s="208">
        <f t="shared" si="11"/>
        <v>0</v>
      </c>
      <c r="I32" s="107">
        <f t="shared" ref="I32" si="14">IFERROR(I27/I16,0)</f>
        <v>1</v>
      </c>
      <c r="J32" s="54"/>
      <c r="K32" s="54"/>
      <c r="L32" s="54"/>
      <c r="M32" s="54"/>
      <c r="N32" s="54"/>
      <c r="O32" s="54"/>
      <c r="P32" s="107"/>
      <c r="Q32" s="54"/>
      <c r="R32" s="54"/>
      <c r="S32" s="54"/>
      <c r="T32" s="54"/>
      <c r="U32" s="54"/>
      <c r="V32" s="54"/>
      <c r="W32" s="107"/>
      <c r="X32" s="54"/>
      <c r="Y32" s="54"/>
      <c r="Z32" s="54"/>
      <c r="AA32" s="54"/>
      <c r="AB32" s="54"/>
      <c r="AC32" s="54"/>
      <c r="AD32" s="107"/>
      <c r="AE32" s="54"/>
      <c r="AF32" s="54"/>
      <c r="AG32" s="54"/>
      <c r="AH32" s="54"/>
      <c r="AI32" s="54"/>
      <c r="AJ32" s="54"/>
      <c r="AK32" s="54"/>
      <c r="AL32" s="54"/>
      <c r="AM32" s="54"/>
    </row>
    <row r="33" spans="3:57" s="2" customFormat="1" ht="25" customHeight="1" thickBot="1">
      <c r="C33" s="300"/>
      <c r="D33" s="319"/>
      <c r="E33" s="214" t="s">
        <v>20</v>
      </c>
      <c r="F33" s="215">
        <f t="shared" si="10"/>
        <v>0.38054708672086718</v>
      </c>
      <c r="G33" s="215">
        <v>0.76109417344173436</v>
      </c>
      <c r="H33" s="215">
        <f t="shared" si="11"/>
        <v>0</v>
      </c>
      <c r="I33" s="108">
        <f t="shared" ref="I33" si="15">IFERROR(I28/I17,0)</f>
        <v>1</v>
      </c>
      <c r="J33" s="55"/>
      <c r="K33" s="55"/>
      <c r="L33" s="55"/>
      <c r="M33" s="55"/>
      <c r="N33" s="55"/>
      <c r="O33" s="55"/>
      <c r="P33" s="108"/>
      <c r="Q33" s="55"/>
      <c r="R33" s="55"/>
      <c r="S33" s="55"/>
      <c r="T33" s="55"/>
      <c r="U33" s="55"/>
      <c r="V33" s="55"/>
      <c r="W33" s="108"/>
      <c r="X33" s="55"/>
      <c r="Y33" s="55"/>
      <c r="Z33" s="55"/>
      <c r="AA33" s="55"/>
      <c r="AB33" s="55"/>
      <c r="AC33" s="55"/>
      <c r="AD33" s="108"/>
      <c r="AE33" s="55"/>
      <c r="AF33" s="55"/>
      <c r="AG33" s="55"/>
      <c r="AH33" s="55"/>
      <c r="AI33" s="55"/>
      <c r="AJ33" s="55"/>
      <c r="AK33" s="55"/>
      <c r="AL33" s="55"/>
      <c r="AM33" s="55"/>
    </row>
    <row r="34" spans="3:57" s="2" customFormat="1" ht="25" customHeight="1">
      <c r="C34" s="298" t="s">
        <v>55</v>
      </c>
      <c r="D34" s="190"/>
      <c r="E34" s="189" t="s">
        <v>9</v>
      </c>
      <c r="F34" s="124">
        <f>SUM(G34:H34)</f>
        <v>1149</v>
      </c>
      <c r="G34" s="199">
        <v>1148</v>
      </c>
      <c r="H34" s="199">
        <f>SUM(H35:H38)</f>
        <v>1</v>
      </c>
      <c r="I34" s="104">
        <f t="shared" ref="I34" si="16">SUM(I35:I38)</f>
        <v>1</v>
      </c>
      <c r="J34" s="51"/>
      <c r="K34" s="51"/>
      <c r="L34" s="51"/>
      <c r="M34" s="51"/>
      <c r="N34" s="51"/>
      <c r="O34" s="51"/>
      <c r="P34" s="104"/>
      <c r="Q34" s="51"/>
      <c r="R34" s="51"/>
      <c r="S34" s="51"/>
      <c r="T34" s="51"/>
      <c r="U34" s="51"/>
      <c r="V34" s="51"/>
      <c r="W34" s="104"/>
      <c r="X34" s="51"/>
      <c r="Y34" s="51"/>
      <c r="Z34" s="51"/>
      <c r="AA34" s="51"/>
      <c r="AB34" s="51"/>
      <c r="AC34" s="51"/>
      <c r="AD34" s="104"/>
      <c r="AE34" s="51"/>
      <c r="AF34" s="51"/>
      <c r="AG34" s="51"/>
      <c r="AH34" s="51"/>
      <c r="AI34" s="51"/>
      <c r="AJ34" s="51"/>
      <c r="AK34" s="51"/>
      <c r="AL34" s="51"/>
      <c r="AM34" s="51"/>
    </row>
    <row r="35" spans="3:57" s="2" customFormat="1" ht="25" customHeight="1">
      <c r="C35" s="299"/>
      <c r="D35" s="318" t="s">
        <v>45</v>
      </c>
      <c r="E35" s="207" t="s">
        <v>40</v>
      </c>
      <c r="F35" s="200">
        <f t="shared" ref="F35:F38" si="17">SUM(G35:H35)</f>
        <v>7</v>
      </c>
      <c r="G35" s="200">
        <v>7</v>
      </c>
      <c r="H35" s="200">
        <f t="shared" ref="H35:H37" si="18">SUM(I35:AM35)</f>
        <v>0</v>
      </c>
      <c r="I35" s="113"/>
      <c r="J35" s="60"/>
      <c r="K35" s="60"/>
      <c r="L35" s="60"/>
      <c r="M35" s="60"/>
      <c r="N35" s="60"/>
      <c r="O35" s="60"/>
      <c r="P35" s="113"/>
      <c r="Q35" s="60"/>
      <c r="R35" s="60"/>
      <c r="S35" s="60"/>
      <c r="T35" s="60"/>
      <c r="U35" s="60"/>
      <c r="V35" s="60"/>
      <c r="W35" s="113"/>
      <c r="X35" s="60"/>
      <c r="Y35" s="60"/>
      <c r="Z35" s="60"/>
      <c r="AA35" s="60"/>
      <c r="AB35" s="60"/>
      <c r="AC35" s="60"/>
      <c r="AD35" s="113"/>
      <c r="AE35" s="60"/>
      <c r="AF35" s="60"/>
      <c r="AG35" s="60"/>
      <c r="AH35" s="60"/>
      <c r="AI35" s="60"/>
      <c r="AJ35" s="60"/>
      <c r="AK35" s="60"/>
      <c r="AL35" s="60"/>
      <c r="AM35" s="60"/>
    </row>
    <row r="36" spans="3:57" s="2" customFormat="1" ht="25" customHeight="1">
      <c r="C36" s="299"/>
      <c r="D36" s="320"/>
      <c r="E36" s="210" t="s">
        <v>21</v>
      </c>
      <c r="F36" s="200">
        <f t="shared" si="17"/>
        <v>5</v>
      </c>
      <c r="G36" s="200">
        <v>5</v>
      </c>
      <c r="H36" s="200">
        <f t="shared" si="18"/>
        <v>0</v>
      </c>
      <c r="I36" s="113"/>
      <c r="J36" s="60"/>
      <c r="K36" s="60"/>
      <c r="L36" s="60"/>
      <c r="M36" s="60"/>
      <c r="N36" s="60"/>
      <c r="O36" s="60"/>
      <c r="P36" s="113"/>
      <c r="Q36" s="60"/>
      <c r="R36" s="60"/>
      <c r="S36" s="60"/>
      <c r="T36" s="60"/>
      <c r="U36" s="60"/>
      <c r="V36" s="60"/>
      <c r="W36" s="113"/>
      <c r="X36" s="60"/>
      <c r="Y36" s="60"/>
      <c r="Z36" s="60"/>
      <c r="AA36" s="60"/>
      <c r="AB36" s="60"/>
      <c r="AC36" s="60"/>
      <c r="AD36" s="113"/>
      <c r="AE36" s="60"/>
      <c r="AF36" s="60"/>
      <c r="AG36" s="60"/>
      <c r="AH36" s="60"/>
      <c r="AI36" s="60"/>
      <c r="AJ36" s="60"/>
      <c r="AK36" s="60"/>
      <c r="AL36" s="60"/>
      <c r="AM36" s="60"/>
    </row>
    <row r="37" spans="3:57" s="2" customFormat="1" ht="25" customHeight="1">
      <c r="C37" s="299"/>
      <c r="D37" s="318" t="s">
        <v>46</v>
      </c>
      <c r="E37" s="213" t="s">
        <v>31</v>
      </c>
      <c r="F37" s="200">
        <f t="shared" si="17"/>
        <v>0</v>
      </c>
      <c r="G37" s="200">
        <v>0</v>
      </c>
      <c r="H37" s="200">
        <f t="shared" si="18"/>
        <v>0</v>
      </c>
      <c r="I37" s="113"/>
      <c r="J37" s="60"/>
      <c r="K37" s="60"/>
      <c r="L37" s="60"/>
      <c r="M37" s="60"/>
      <c r="N37" s="60"/>
      <c r="O37" s="60"/>
      <c r="P37" s="113"/>
      <c r="Q37" s="60"/>
      <c r="R37" s="60"/>
      <c r="S37" s="60"/>
      <c r="T37" s="60"/>
      <c r="U37" s="60"/>
      <c r="V37" s="60"/>
      <c r="W37" s="113"/>
      <c r="X37" s="60"/>
      <c r="Y37" s="60"/>
      <c r="Z37" s="60"/>
      <c r="AA37" s="60"/>
      <c r="AB37" s="60"/>
      <c r="AC37" s="60"/>
      <c r="AD37" s="113"/>
      <c r="AE37" s="60"/>
      <c r="AF37" s="60"/>
      <c r="AG37" s="60"/>
      <c r="AH37" s="60"/>
      <c r="AI37" s="60"/>
      <c r="AJ37" s="60"/>
      <c r="AK37" s="60"/>
      <c r="AL37" s="60"/>
      <c r="AM37" s="60"/>
    </row>
    <row r="38" spans="3:57" s="2" customFormat="1" ht="25" customHeight="1" thickBot="1">
      <c r="C38" s="300"/>
      <c r="D38" s="319"/>
      <c r="E38" s="214" t="s">
        <v>20</v>
      </c>
      <c r="F38" s="200">
        <f t="shared" si="17"/>
        <v>1137</v>
      </c>
      <c r="G38" s="200">
        <v>1136</v>
      </c>
      <c r="H38" s="200">
        <f>SUM(I38:AM38)</f>
        <v>1</v>
      </c>
      <c r="I38" s="231">
        <v>1</v>
      </c>
      <c r="J38" s="223"/>
      <c r="K38" s="223"/>
      <c r="L38" s="223"/>
      <c r="M38" s="223"/>
      <c r="N38" s="223"/>
      <c r="O38" s="223"/>
      <c r="P38" s="231"/>
      <c r="Q38" s="223"/>
      <c r="R38" s="223"/>
      <c r="S38" s="223"/>
      <c r="T38" s="223"/>
      <c r="U38" s="223"/>
      <c r="V38" s="223"/>
      <c r="W38" s="231"/>
      <c r="X38" s="223"/>
      <c r="Y38" s="223"/>
      <c r="Z38" s="223"/>
      <c r="AA38" s="223"/>
      <c r="AB38" s="223"/>
      <c r="AC38" s="223"/>
      <c r="AD38" s="231"/>
      <c r="AE38" s="223"/>
      <c r="AF38" s="223"/>
      <c r="AG38" s="223"/>
      <c r="AH38" s="223"/>
      <c r="AI38" s="223"/>
      <c r="AJ38" s="223"/>
      <c r="AK38" s="223"/>
      <c r="AL38" s="223"/>
      <c r="AM38" s="223"/>
    </row>
    <row r="39" spans="3:57" s="2" customFormat="1" ht="25" customHeight="1">
      <c r="C39" s="298" t="s">
        <v>56</v>
      </c>
      <c r="D39" s="190"/>
      <c r="E39" s="189" t="s">
        <v>57</v>
      </c>
      <c r="F39" s="132">
        <f>AVERAGE(G39:H39)</f>
        <v>0.48463986490874844</v>
      </c>
      <c r="G39" s="132">
        <v>0.96927972981749688</v>
      </c>
      <c r="H39" s="132">
        <f>IFERROR((H34/H13),0)</f>
        <v>0</v>
      </c>
      <c r="I39" s="204">
        <f t="shared" ref="I39" si="19">SUM(I40:I43)</f>
        <v>7.5585789871504159E-4</v>
      </c>
      <c r="J39" s="201"/>
      <c r="K39" s="201"/>
      <c r="L39" s="201"/>
      <c r="M39" s="201"/>
      <c r="N39" s="201"/>
      <c r="O39" s="201"/>
      <c r="P39" s="204"/>
      <c r="Q39" s="201"/>
      <c r="R39" s="201"/>
      <c r="S39" s="201"/>
      <c r="T39" s="201"/>
      <c r="U39" s="201"/>
      <c r="V39" s="201"/>
      <c r="W39" s="204"/>
      <c r="X39" s="201"/>
      <c r="Y39" s="201"/>
      <c r="Z39" s="201"/>
      <c r="AA39" s="201"/>
      <c r="AB39" s="201"/>
      <c r="AC39" s="201"/>
      <c r="AD39" s="204"/>
      <c r="AE39" s="201"/>
      <c r="AF39" s="201"/>
      <c r="AG39" s="201"/>
      <c r="AH39" s="201"/>
      <c r="AI39" s="201"/>
      <c r="AJ39" s="201"/>
      <c r="AK39" s="201"/>
      <c r="AL39" s="201"/>
      <c r="AM39" s="201"/>
    </row>
    <row r="40" spans="3:57" s="2" customFormat="1" ht="25" customHeight="1">
      <c r="C40" s="299"/>
      <c r="D40" s="318" t="s">
        <v>45</v>
      </c>
      <c r="E40" s="207" t="s">
        <v>40</v>
      </c>
      <c r="F40" s="209">
        <f t="shared" ref="F40:F43" si="20">AVERAGE(G40:H40)</f>
        <v>1.741294350264795E-3</v>
      </c>
      <c r="G40" s="209">
        <v>3.4825887005295901E-3</v>
      </c>
      <c r="H40" s="209">
        <f t="shared" ref="H40:H43" si="21">SUM(J40:AN40)</f>
        <v>0</v>
      </c>
      <c r="I40" s="111">
        <f t="shared" ref="I40" si="22">IFERROR(I35/I13,0)</f>
        <v>0</v>
      </c>
      <c r="J40" s="58"/>
      <c r="K40" s="58"/>
      <c r="L40" s="58"/>
      <c r="M40" s="58"/>
      <c r="N40" s="58"/>
      <c r="O40" s="58"/>
      <c r="P40" s="111"/>
      <c r="Q40" s="58"/>
      <c r="R40" s="58"/>
      <c r="S40" s="58"/>
      <c r="T40" s="58"/>
      <c r="U40" s="58"/>
      <c r="V40" s="58"/>
      <c r="W40" s="111"/>
      <c r="X40" s="58"/>
      <c r="Y40" s="58"/>
      <c r="Z40" s="58"/>
      <c r="AA40" s="58"/>
      <c r="AB40" s="58"/>
      <c r="AC40" s="58"/>
      <c r="AD40" s="111"/>
      <c r="AE40" s="58"/>
      <c r="AF40" s="58"/>
      <c r="AG40" s="58"/>
      <c r="AH40" s="58"/>
      <c r="AI40" s="58"/>
      <c r="AJ40" s="58"/>
      <c r="AK40" s="58"/>
      <c r="AL40" s="58"/>
      <c r="AM40" s="58"/>
    </row>
    <row r="41" spans="3:57" s="2" customFormat="1" ht="25" customHeight="1">
      <c r="C41" s="299"/>
      <c r="D41" s="320"/>
      <c r="E41" s="210" t="s">
        <v>21</v>
      </c>
      <c r="F41" s="212">
        <f t="shared" si="20"/>
        <v>2.1334799676767961E-3</v>
      </c>
      <c r="G41" s="212">
        <v>4.2669599353535922E-3</v>
      </c>
      <c r="H41" s="212">
        <f t="shared" si="21"/>
        <v>0</v>
      </c>
      <c r="I41" s="205">
        <f t="shared" ref="I41" si="23">IFERROR(I36/I13,0)</f>
        <v>0</v>
      </c>
      <c r="J41" s="202"/>
      <c r="K41" s="202"/>
      <c r="L41" s="202"/>
      <c r="M41" s="202"/>
      <c r="N41" s="202"/>
      <c r="O41" s="202"/>
      <c r="P41" s="205"/>
      <c r="Q41" s="202"/>
      <c r="R41" s="202"/>
      <c r="S41" s="202"/>
      <c r="T41" s="202"/>
      <c r="U41" s="202"/>
      <c r="V41" s="202"/>
      <c r="W41" s="205"/>
      <c r="X41" s="202"/>
      <c r="Y41" s="202"/>
      <c r="Z41" s="202"/>
      <c r="AA41" s="202"/>
      <c r="AB41" s="202"/>
      <c r="AC41" s="202"/>
      <c r="AD41" s="205"/>
      <c r="AE41" s="202"/>
      <c r="AF41" s="202"/>
      <c r="AG41" s="202"/>
      <c r="AH41" s="202"/>
      <c r="AI41" s="202"/>
      <c r="AJ41" s="202"/>
      <c r="AK41" s="202"/>
      <c r="AL41" s="202"/>
      <c r="AM41" s="202"/>
    </row>
    <row r="42" spans="3:57" s="2" customFormat="1" ht="25" customHeight="1">
      <c r="C42" s="299"/>
      <c r="D42" s="318" t="s">
        <v>46</v>
      </c>
      <c r="E42" s="213" t="s">
        <v>31</v>
      </c>
      <c r="F42" s="209">
        <f t="shared" si="20"/>
        <v>0</v>
      </c>
      <c r="G42" s="209">
        <v>0</v>
      </c>
      <c r="H42" s="209">
        <f t="shared" si="21"/>
        <v>0</v>
      </c>
      <c r="I42" s="205">
        <f t="shared" ref="I42" si="24">IFERROR(I37/I13,0)</f>
        <v>0</v>
      </c>
      <c r="J42" s="202"/>
      <c r="K42" s="202"/>
      <c r="L42" s="202"/>
      <c r="M42" s="202"/>
      <c r="N42" s="202"/>
      <c r="O42" s="202"/>
      <c r="P42" s="205"/>
      <c r="Q42" s="202"/>
      <c r="R42" s="202"/>
      <c r="S42" s="202"/>
      <c r="T42" s="202"/>
      <c r="U42" s="202"/>
      <c r="V42" s="202"/>
      <c r="W42" s="205"/>
      <c r="X42" s="202"/>
      <c r="Y42" s="202"/>
      <c r="Z42" s="202"/>
      <c r="AA42" s="202"/>
      <c r="AB42" s="202"/>
      <c r="AC42" s="202"/>
      <c r="AD42" s="205"/>
      <c r="AE42" s="202"/>
      <c r="AF42" s="202"/>
      <c r="AG42" s="202"/>
      <c r="AH42" s="202"/>
      <c r="AI42" s="202"/>
      <c r="AJ42" s="202"/>
      <c r="AK42" s="202"/>
      <c r="AL42" s="202"/>
      <c r="AM42" s="202"/>
    </row>
    <row r="43" spans="3:57" s="2" customFormat="1" ht="25" customHeight="1" thickBot="1">
      <c r="C43" s="300"/>
      <c r="D43" s="319"/>
      <c r="E43" s="214" t="s">
        <v>20</v>
      </c>
      <c r="F43" s="216">
        <f t="shared" si="20"/>
        <v>0.46570186726056384</v>
      </c>
      <c r="G43" s="216">
        <v>0.93140373452112768</v>
      </c>
      <c r="H43" s="216">
        <f t="shared" si="21"/>
        <v>0</v>
      </c>
      <c r="I43" s="206">
        <f t="shared" ref="I43" si="25">IFERROR(I38/I13,0)</f>
        <v>7.5585789871504159E-4</v>
      </c>
      <c r="J43" s="203"/>
      <c r="K43" s="203"/>
      <c r="L43" s="203"/>
      <c r="M43" s="203"/>
      <c r="N43" s="203"/>
      <c r="O43" s="203"/>
      <c r="P43" s="206"/>
      <c r="Q43" s="203"/>
      <c r="R43" s="203"/>
      <c r="S43" s="203"/>
      <c r="T43" s="203"/>
      <c r="U43" s="203"/>
      <c r="V43" s="203"/>
      <c r="W43" s="206"/>
      <c r="X43" s="203"/>
      <c r="Y43" s="203"/>
      <c r="Z43" s="203"/>
      <c r="AA43" s="203"/>
      <c r="AB43" s="203"/>
      <c r="AC43" s="203"/>
      <c r="AD43" s="206"/>
      <c r="AE43" s="203"/>
      <c r="AF43" s="203"/>
      <c r="AG43" s="203"/>
      <c r="AH43" s="203"/>
      <c r="AI43" s="203"/>
      <c r="AJ43" s="203"/>
      <c r="AK43" s="203"/>
      <c r="AL43" s="203"/>
      <c r="AM43" s="203"/>
    </row>
    <row r="44" spans="3:57" s="2" customFormat="1" ht="25" hidden="1" customHeight="1" thickBot="1">
      <c r="C44" s="327" t="s">
        <v>12</v>
      </c>
      <c r="D44" s="190"/>
      <c r="E44" s="3" t="s">
        <v>9</v>
      </c>
      <c r="F44" s="124"/>
      <c r="G44" s="224"/>
      <c r="H44" s="224"/>
      <c r="I44" s="109"/>
      <c r="J44" s="56"/>
      <c r="K44" s="56"/>
      <c r="L44" s="56"/>
      <c r="M44" s="56"/>
      <c r="N44" s="56"/>
      <c r="O44" s="56"/>
      <c r="P44" s="109"/>
      <c r="Q44" s="56"/>
      <c r="R44" s="56"/>
      <c r="S44" s="56"/>
      <c r="T44" s="56"/>
      <c r="U44" s="56"/>
      <c r="V44" s="56"/>
      <c r="W44" s="109"/>
      <c r="X44" s="56"/>
      <c r="Y44" s="56"/>
      <c r="Z44" s="56"/>
      <c r="AA44" s="56"/>
      <c r="AB44" s="56"/>
      <c r="AC44" s="56"/>
      <c r="AD44" s="109"/>
      <c r="AE44" s="56"/>
      <c r="AF44" s="56"/>
      <c r="AG44" s="56"/>
      <c r="AH44" s="56"/>
      <c r="AI44" s="56"/>
      <c r="AJ44" s="56"/>
      <c r="AK44" s="56"/>
      <c r="AL44" s="56"/>
      <c r="AM44" s="56"/>
    </row>
    <row r="45" spans="3:57" s="2" customFormat="1" ht="25" hidden="1" customHeight="1">
      <c r="C45" s="328"/>
      <c r="D45" s="41"/>
      <c r="E45" s="5" t="s">
        <v>13</v>
      </c>
      <c r="F45" s="128"/>
      <c r="G45" s="228"/>
      <c r="H45" s="228"/>
      <c r="I45" s="110"/>
      <c r="J45" s="57"/>
      <c r="K45" s="57"/>
      <c r="L45" s="57"/>
      <c r="M45" s="57"/>
      <c r="N45" s="57"/>
      <c r="O45" s="57"/>
      <c r="P45" s="110"/>
      <c r="Q45" s="57"/>
      <c r="R45" s="57"/>
      <c r="S45" s="57"/>
      <c r="T45" s="57"/>
      <c r="U45" s="57"/>
      <c r="V45" s="57"/>
      <c r="W45" s="110"/>
      <c r="X45" s="57"/>
      <c r="Y45" s="57"/>
      <c r="Z45" s="57"/>
      <c r="AA45" s="57"/>
      <c r="AB45" s="57"/>
      <c r="AC45" s="57"/>
      <c r="AD45" s="110"/>
      <c r="AE45" s="57"/>
      <c r="AF45" s="57"/>
      <c r="AG45" s="57"/>
      <c r="AH45" s="57"/>
      <c r="AI45" s="57"/>
      <c r="AJ45" s="57"/>
      <c r="AK45" s="57"/>
      <c r="AL45" s="57"/>
      <c r="AM45" s="57"/>
      <c r="BE45" s="137"/>
    </row>
    <row r="46" spans="3:57" s="2" customFormat="1" ht="25" hidden="1" customHeight="1" thickBot="1">
      <c r="C46" s="328"/>
      <c r="D46" s="41"/>
      <c r="E46" s="5" t="s">
        <v>14</v>
      </c>
      <c r="F46" s="129"/>
      <c r="G46" s="227"/>
      <c r="H46" s="227"/>
      <c r="I46" s="111"/>
      <c r="J46" s="58"/>
      <c r="K46" s="58"/>
      <c r="L46" s="58"/>
      <c r="M46" s="58"/>
      <c r="N46" s="58"/>
      <c r="O46" s="58"/>
      <c r="P46" s="111"/>
      <c r="Q46" s="58"/>
      <c r="R46" s="58"/>
      <c r="S46" s="58"/>
      <c r="T46" s="58"/>
      <c r="U46" s="58"/>
      <c r="V46" s="58"/>
      <c r="W46" s="111"/>
      <c r="X46" s="58"/>
      <c r="Y46" s="58"/>
      <c r="Z46" s="58"/>
      <c r="AA46" s="58"/>
      <c r="AB46" s="58"/>
      <c r="AC46" s="58"/>
      <c r="AD46" s="111"/>
      <c r="AE46" s="58"/>
      <c r="AF46" s="58"/>
      <c r="AG46" s="58"/>
      <c r="AH46" s="58"/>
      <c r="AI46" s="58"/>
      <c r="AJ46" s="58"/>
      <c r="AK46" s="58"/>
      <c r="AL46" s="58"/>
      <c r="AM46" s="58"/>
    </row>
    <row r="47" spans="3:57" s="2" customFormat="1" ht="25" hidden="1" customHeight="1" thickBot="1">
      <c r="C47" s="328"/>
      <c r="D47" s="41"/>
      <c r="E47" s="4" t="s">
        <v>4</v>
      </c>
      <c r="F47" s="125"/>
      <c r="G47" s="226"/>
      <c r="H47" s="226"/>
      <c r="I47" s="112"/>
      <c r="J47" s="59"/>
      <c r="K47" s="59"/>
      <c r="L47" s="59"/>
      <c r="M47" s="59"/>
      <c r="N47" s="59"/>
      <c r="O47" s="59"/>
      <c r="P47" s="112"/>
      <c r="Q47" s="59"/>
      <c r="R47" s="59"/>
      <c r="S47" s="59"/>
      <c r="T47" s="59"/>
      <c r="U47" s="59"/>
      <c r="V47" s="59"/>
      <c r="W47" s="112"/>
      <c r="X47" s="59"/>
      <c r="Y47" s="59"/>
      <c r="Z47" s="59"/>
      <c r="AA47" s="59"/>
      <c r="AB47" s="59"/>
      <c r="AC47" s="59"/>
      <c r="AD47" s="112"/>
      <c r="AE47" s="59"/>
      <c r="AF47" s="59"/>
      <c r="AG47" s="59"/>
      <c r="AH47" s="59"/>
      <c r="AI47" s="59"/>
      <c r="AJ47" s="59"/>
      <c r="AK47" s="59"/>
      <c r="AL47" s="59"/>
      <c r="AM47" s="59"/>
    </row>
    <row r="48" spans="3:57" s="2" customFormat="1" ht="25" hidden="1" customHeight="1" thickBot="1">
      <c r="C48" s="328"/>
      <c r="D48" s="41"/>
      <c r="E48" s="5" t="s">
        <v>10</v>
      </c>
      <c r="F48" s="125"/>
      <c r="G48" s="226"/>
      <c r="H48" s="226"/>
      <c r="I48" s="113"/>
      <c r="J48" s="60"/>
      <c r="K48" s="60"/>
      <c r="L48" s="60"/>
      <c r="M48" s="60"/>
      <c r="N48" s="60"/>
      <c r="O48" s="60"/>
      <c r="P48" s="113"/>
      <c r="Q48" s="60"/>
      <c r="R48" s="60"/>
      <c r="S48" s="60"/>
      <c r="T48" s="60"/>
      <c r="U48" s="60"/>
      <c r="V48" s="60"/>
      <c r="W48" s="113"/>
      <c r="X48" s="60"/>
      <c r="Y48" s="60"/>
      <c r="Z48" s="60"/>
      <c r="AA48" s="60"/>
      <c r="AB48" s="60"/>
      <c r="AC48" s="60"/>
      <c r="AD48" s="113"/>
      <c r="AE48" s="60"/>
      <c r="AF48" s="60"/>
      <c r="AG48" s="60"/>
      <c r="AH48" s="60"/>
      <c r="AI48" s="60"/>
      <c r="AJ48" s="60"/>
      <c r="AK48" s="60"/>
      <c r="AL48" s="60"/>
      <c r="AM48" s="60"/>
    </row>
    <row r="49" spans="3:60" s="2" customFormat="1" ht="25" hidden="1" customHeight="1" thickBot="1">
      <c r="C49" s="328"/>
      <c r="D49" s="41"/>
      <c r="E49" s="5" t="s">
        <v>13</v>
      </c>
      <c r="F49" s="129"/>
      <c r="G49" s="229"/>
      <c r="H49" s="229"/>
      <c r="I49" s="114"/>
      <c r="J49" s="61"/>
      <c r="K49" s="61"/>
      <c r="L49" s="61"/>
      <c r="M49" s="61"/>
      <c r="N49" s="61"/>
      <c r="O49" s="61"/>
      <c r="P49" s="114"/>
      <c r="Q49" s="61"/>
      <c r="R49" s="61"/>
      <c r="S49" s="61"/>
      <c r="T49" s="61"/>
      <c r="U49" s="61"/>
      <c r="V49" s="61"/>
      <c r="W49" s="114"/>
      <c r="X49" s="61"/>
      <c r="Y49" s="61"/>
      <c r="Z49" s="61"/>
      <c r="AA49" s="61"/>
      <c r="AB49" s="61"/>
      <c r="AC49" s="61"/>
      <c r="AD49" s="114"/>
      <c r="AE49" s="61"/>
      <c r="AF49" s="61"/>
      <c r="AG49" s="61"/>
      <c r="AH49" s="61"/>
      <c r="AI49" s="61"/>
      <c r="AJ49" s="61"/>
      <c r="AK49" s="61"/>
      <c r="AL49" s="61"/>
      <c r="AM49" s="61"/>
    </row>
    <row r="50" spans="3:60" s="2" customFormat="1" ht="25" hidden="1" customHeight="1" thickBot="1">
      <c r="C50" s="328"/>
      <c r="D50" s="41"/>
      <c r="E50" s="5" t="s">
        <v>11</v>
      </c>
      <c r="F50" s="125"/>
      <c r="G50" s="225"/>
      <c r="H50" s="225"/>
      <c r="I50" s="115"/>
      <c r="J50" s="62"/>
      <c r="K50" s="62"/>
      <c r="L50" s="62"/>
      <c r="M50" s="62"/>
      <c r="N50" s="62"/>
      <c r="O50" s="62"/>
      <c r="P50" s="115"/>
      <c r="Q50" s="62"/>
      <c r="R50" s="62"/>
      <c r="S50" s="62"/>
      <c r="T50" s="62"/>
      <c r="U50" s="62"/>
      <c r="V50" s="62"/>
      <c r="W50" s="115"/>
      <c r="X50" s="62"/>
      <c r="Y50" s="62"/>
      <c r="Z50" s="62"/>
      <c r="AA50" s="62"/>
      <c r="AB50" s="62"/>
      <c r="AC50" s="62"/>
      <c r="AD50" s="115"/>
      <c r="AE50" s="62"/>
      <c r="AF50" s="62"/>
      <c r="AG50" s="62"/>
      <c r="AH50" s="62"/>
      <c r="AI50" s="62"/>
      <c r="AJ50" s="62"/>
      <c r="AK50" s="62"/>
      <c r="AL50" s="62"/>
      <c r="AM50" s="62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</row>
    <row r="51" spans="3:60" s="2" customFormat="1" ht="25" hidden="1" customHeight="1" thickBot="1">
      <c r="C51" s="329"/>
      <c r="D51" s="192"/>
      <c r="E51" s="6" t="s">
        <v>13</v>
      </c>
      <c r="F51" s="130"/>
      <c r="G51" s="230"/>
      <c r="H51" s="230"/>
      <c r="I51" s="116"/>
      <c r="J51" s="63"/>
      <c r="K51" s="63"/>
      <c r="L51" s="63"/>
      <c r="M51" s="63"/>
      <c r="N51" s="63"/>
      <c r="O51" s="63"/>
      <c r="P51" s="116"/>
      <c r="Q51" s="63"/>
      <c r="R51" s="63"/>
      <c r="S51" s="63"/>
      <c r="T51" s="63"/>
      <c r="U51" s="63"/>
      <c r="V51" s="63"/>
      <c r="W51" s="116"/>
      <c r="X51" s="63"/>
      <c r="Y51" s="63"/>
      <c r="Z51" s="63"/>
      <c r="AA51" s="63"/>
      <c r="AB51" s="63"/>
      <c r="AC51" s="63"/>
      <c r="AD51" s="116"/>
      <c r="AE51" s="63"/>
      <c r="AF51" s="63"/>
      <c r="AG51" s="63"/>
      <c r="AH51" s="63"/>
      <c r="AI51" s="63"/>
      <c r="AJ51" s="63"/>
      <c r="AK51" s="63"/>
      <c r="AL51" s="63"/>
      <c r="AM51" s="63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3:60" s="2" customFormat="1" ht="15" thickBot="1">
      <c r="C52" s="69"/>
      <c r="D52" s="7"/>
      <c r="E52" s="7"/>
      <c r="F52" s="131"/>
      <c r="G52" s="131"/>
      <c r="H52" s="131"/>
      <c r="I52" s="117"/>
      <c r="J52" s="70"/>
      <c r="K52" s="70"/>
      <c r="L52" s="70"/>
      <c r="M52" s="70"/>
      <c r="N52" s="70"/>
      <c r="O52" s="70"/>
      <c r="P52" s="117"/>
      <c r="Q52" s="70"/>
      <c r="R52" s="70"/>
      <c r="S52" s="70"/>
      <c r="T52" s="70"/>
      <c r="U52" s="70"/>
      <c r="V52" s="70"/>
      <c r="W52" s="117"/>
      <c r="X52" s="70"/>
      <c r="Y52" s="70"/>
      <c r="Z52" s="70"/>
      <c r="AA52" s="70"/>
      <c r="AB52" s="70"/>
      <c r="AC52" s="70"/>
      <c r="AD52" s="117"/>
      <c r="AE52" s="70"/>
      <c r="AF52" s="70"/>
      <c r="AG52" s="70"/>
      <c r="AH52" s="70"/>
      <c r="AI52" s="70"/>
      <c r="AJ52" s="70"/>
      <c r="AK52" s="70"/>
      <c r="AL52" s="70"/>
      <c r="AM52" s="70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3:60" s="2" customFormat="1" ht="22.5" customHeight="1">
      <c r="C53" s="321" t="s">
        <v>49</v>
      </c>
      <c r="D53" s="322"/>
      <c r="E53" s="8" t="s">
        <v>50</v>
      </c>
      <c r="F53" s="132">
        <f>AVERAGE(G53:H53)</f>
        <v>0.46661226949688478</v>
      </c>
      <c r="G53" s="132">
        <v>0.93322453899376956</v>
      </c>
      <c r="H53" s="132">
        <f>IFERROR(AVERAGEIFS(I53:AM53,I53:AM53,"&gt;0.01",$I$12:$AM$12,"No Sunday"),0)</f>
        <v>0</v>
      </c>
      <c r="I53" s="118">
        <f>SUM('01.02'!$E$12:$G$12)/SUM('01.02'!$E$11:$G$11)</f>
        <v>1</v>
      </c>
      <c r="J53" s="64"/>
      <c r="K53" s="64"/>
      <c r="L53" s="64"/>
      <c r="M53" s="64"/>
      <c r="N53" s="64"/>
      <c r="O53" s="64"/>
      <c r="P53" s="118"/>
      <c r="Q53" s="64"/>
      <c r="R53" s="64"/>
      <c r="S53" s="64"/>
      <c r="T53" s="64"/>
      <c r="U53" s="64"/>
      <c r="V53" s="64"/>
      <c r="W53" s="118"/>
      <c r="X53" s="64"/>
      <c r="Y53" s="64"/>
      <c r="Z53" s="64"/>
      <c r="AA53" s="64"/>
      <c r="AB53" s="64"/>
      <c r="AC53" s="64"/>
      <c r="AD53" s="118"/>
      <c r="AE53" s="64"/>
      <c r="AF53" s="64"/>
      <c r="AG53" s="64"/>
      <c r="AH53" s="64"/>
      <c r="AI53" s="64"/>
      <c r="AJ53" s="64"/>
      <c r="AK53" s="64"/>
      <c r="AL53" s="64"/>
      <c r="AM53" s="64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3:60" s="2" customFormat="1" ht="22.5" customHeight="1">
      <c r="C54" s="323"/>
      <c r="D54" s="324"/>
      <c r="E54" s="9" t="s">
        <v>51</v>
      </c>
      <c r="F54" s="129">
        <f t="shared" ref="F54:F58" si="26">AVERAGE(G54:H54)</f>
        <v>0.47003667788484155</v>
      </c>
      <c r="G54" s="129">
        <v>0.94007335576968309</v>
      </c>
      <c r="H54" s="129">
        <f t="shared" ref="H54:H58" si="27">IFERROR(AVERAGEIFS(I54:AM54,I54:AM54,"&gt;0.01",$I$12:$AM$12,"No Sunday"),0)</f>
        <v>0</v>
      </c>
      <c r="I54" s="119">
        <f>SUM('01.02'!$H$12:$J$12)/SUM('01.02'!$H$11:$J$11)</f>
        <v>1</v>
      </c>
      <c r="J54" s="65"/>
      <c r="K54" s="65"/>
      <c r="L54" s="65"/>
      <c r="M54" s="65"/>
      <c r="N54" s="65"/>
      <c r="O54" s="65"/>
      <c r="P54" s="119"/>
      <c r="Q54" s="65"/>
      <c r="R54" s="65"/>
      <c r="S54" s="65"/>
      <c r="T54" s="65"/>
      <c r="U54" s="65"/>
      <c r="V54" s="65"/>
      <c r="W54" s="119"/>
      <c r="X54" s="65"/>
      <c r="Y54" s="65"/>
      <c r="Z54" s="65"/>
      <c r="AA54" s="65"/>
      <c r="AB54" s="65"/>
      <c r="AC54" s="65"/>
      <c r="AD54" s="119"/>
      <c r="AE54" s="65"/>
      <c r="AF54" s="65"/>
      <c r="AG54" s="65"/>
      <c r="AH54" s="65"/>
      <c r="AI54" s="65"/>
      <c r="AJ54" s="65"/>
      <c r="AK54" s="65"/>
      <c r="AL54" s="65"/>
      <c r="AM54" s="65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 s="136"/>
      <c r="BE54" s="138"/>
      <c r="BF54" s="138"/>
      <c r="BG54" s="138"/>
      <c r="BH54" s="138"/>
    </row>
    <row r="55" spans="3:60" s="2" customFormat="1" ht="22.5" customHeight="1">
      <c r="C55" s="323"/>
      <c r="D55" s="324"/>
      <c r="E55" s="10" t="s">
        <v>52</v>
      </c>
      <c r="F55" s="129">
        <f t="shared" si="26"/>
        <v>0.4268719105589745</v>
      </c>
      <c r="G55" s="129">
        <v>0.853743821117949</v>
      </c>
      <c r="H55" s="129">
        <f t="shared" si="27"/>
        <v>0</v>
      </c>
      <c r="I55" s="119">
        <f>SUM('01.02'!$L$12:$O$12)/SUM('01.02'!$L$11:$O$11)</f>
        <v>1</v>
      </c>
      <c r="J55" s="65"/>
      <c r="K55" s="65"/>
      <c r="L55" s="65"/>
      <c r="M55" s="65"/>
      <c r="N55" s="65"/>
      <c r="O55" s="65"/>
      <c r="P55" s="119"/>
      <c r="Q55" s="65"/>
      <c r="R55" s="65"/>
      <c r="S55" s="65"/>
      <c r="T55" s="65"/>
      <c r="U55" s="65"/>
      <c r="V55" s="65"/>
      <c r="W55" s="119"/>
      <c r="X55" s="65"/>
      <c r="Y55" s="65"/>
      <c r="Z55" s="65"/>
      <c r="AA55" s="65"/>
      <c r="AB55" s="65"/>
      <c r="AC55" s="65"/>
      <c r="AD55" s="119"/>
      <c r="AE55" s="65"/>
      <c r="AF55" s="65"/>
      <c r="AG55" s="65"/>
      <c r="AH55" s="65"/>
      <c r="AI55" s="65"/>
      <c r="AJ55" s="65"/>
      <c r="AK55" s="65"/>
      <c r="AL55" s="65"/>
      <c r="AM55" s="6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E55"/>
      <c r="BF55"/>
      <c r="BG55"/>
      <c r="BH55"/>
    </row>
    <row r="56" spans="3:60" s="2" customFormat="1" ht="22.5" customHeight="1">
      <c r="C56" s="323"/>
      <c r="D56" s="324"/>
      <c r="E56" s="10" t="s">
        <v>58</v>
      </c>
      <c r="F56" s="129">
        <f t="shared" si="26"/>
        <v>0.46438564124891307</v>
      </c>
      <c r="G56" s="129">
        <v>0.92877128249782614</v>
      </c>
      <c r="H56" s="129">
        <f t="shared" si="27"/>
        <v>0</v>
      </c>
      <c r="I56" s="119">
        <f>SUM('01.02'!$P$12:$R$12)/SUM('01.02'!$P$11:$R$11)</f>
        <v>1</v>
      </c>
      <c r="J56" s="65"/>
      <c r="K56" s="65"/>
      <c r="L56" s="65"/>
      <c r="M56" s="65"/>
      <c r="N56" s="65"/>
      <c r="O56" s="65"/>
      <c r="P56" s="119"/>
      <c r="Q56" s="65"/>
      <c r="R56" s="65"/>
      <c r="S56" s="65"/>
      <c r="T56" s="65"/>
      <c r="U56" s="65"/>
      <c r="V56" s="65"/>
      <c r="W56" s="119"/>
      <c r="X56" s="65"/>
      <c r="Y56" s="65"/>
      <c r="Z56" s="65"/>
      <c r="AA56" s="65"/>
      <c r="AB56" s="65"/>
      <c r="AC56" s="65"/>
      <c r="AD56" s="119"/>
      <c r="AE56" s="65"/>
      <c r="AF56" s="65"/>
      <c r="AG56" s="65"/>
      <c r="AH56" s="65"/>
      <c r="AI56" s="65"/>
      <c r="AJ56" s="65"/>
      <c r="AK56" s="65"/>
      <c r="AL56" s="65"/>
      <c r="AM56" s="65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E56"/>
      <c r="BF56"/>
      <c r="BG56"/>
      <c r="BH56"/>
    </row>
    <row r="57" spans="3:60" s="2" customFormat="1" ht="22.5" customHeight="1">
      <c r="C57" s="323"/>
      <c r="D57" s="324"/>
      <c r="E57" s="10" t="s">
        <v>53</v>
      </c>
      <c r="F57" s="129">
        <f t="shared" si="26"/>
        <v>0.4569486747432791</v>
      </c>
      <c r="G57" s="129">
        <v>0.91389734948655821</v>
      </c>
      <c r="H57" s="129">
        <f t="shared" si="27"/>
        <v>0</v>
      </c>
      <c r="I57" s="119">
        <f>SUM('01.02'!$S$12:$U$12)/SUM('01.02'!$S$11:$U$11)</f>
        <v>1</v>
      </c>
      <c r="J57" s="65"/>
      <c r="K57" s="65"/>
      <c r="L57" s="65"/>
      <c r="M57" s="65"/>
      <c r="N57" s="65"/>
      <c r="O57" s="65"/>
      <c r="P57" s="119"/>
      <c r="Q57" s="65"/>
      <c r="R57" s="65"/>
      <c r="S57" s="65"/>
      <c r="T57" s="65"/>
      <c r="U57" s="65"/>
      <c r="V57" s="65"/>
      <c r="W57" s="119"/>
      <c r="X57" s="65"/>
      <c r="Y57" s="65"/>
      <c r="Z57" s="65"/>
      <c r="AA57" s="65"/>
      <c r="AB57" s="65"/>
      <c r="AC57" s="65"/>
      <c r="AD57" s="119"/>
      <c r="AE57" s="65"/>
      <c r="AF57" s="65"/>
      <c r="AG57" s="65"/>
      <c r="AH57" s="65"/>
      <c r="AI57" s="65"/>
      <c r="AJ57" s="65"/>
      <c r="AK57" s="65"/>
      <c r="AL57" s="65"/>
      <c r="AM57" s="65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E57"/>
      <c r="BF57"/>
      <c r="BG57"/>
      <c r="BH57"/>
    </row>
    <row r="58" spans="3:60" s="2" customFormat="1" ht="23.25" customHeight="1" thickBot="1">
      <c r="C58" s="325"/>
      <c r="D58" s="326"/>
      <c r="E58" s="11" t="s">
        <v>54</v>
      </c>
      <c r="F58" s="133">
        <f t="shared" si="26"/>
        <v>0.4699490193593967</v>
      </c>
      <c r="G58" s="133">
        <v>0.9398980387187934</v>
      </c>
      <c r="H58" s="133">
        <f t="shared" si="27"/>
        <v>0</v>
      </c>
      <c r="I58" s="120">
        <f>SUM('01.02'!$V$12:$X$12)/SUM('01.02'!$V$11:$X$11)</f>
        <v>1</v>
      </c>
      <c r="J58" s="66"/>
      <c r="K58" s="66"/>
      <c r="L58" s="66"/>
      <c r="M58" s="66"/>
      <c r="N58" s="66"/>
      <c r="O58" s="66"/>
      <c r="P58" s="120"/>
      <c r="Q58" s="66"/>
      <c r="R58" s="66"/>
      <c r="S58" s="66"/>
      <c r="T58" s="66"/>
      <c r="U58" s="66"/>
      <c r="V58" s="66"/>
      <c r="W58" s="120"/>
      <c r="X58" s="66"/>
      <c r="Y58" s="66"/>
      <c r="Z58" s="66"/>
      <c r="AA58" s="66"/>
      <c r="AB58" s="66"/>
      <c r="AC58" s="66"/>
      <c r="AD58" s="120"/>
      <c r="AE58" s="66"/>
      <c r="AF58" s="66"/>
      <c r="AG58" s="66"/>
      <c r="AH58" s="66"/>
      <c r="AI58" s="66"/>
      <c r="AJ58" s="66"/>
      <c r="AK58" s="66"/>
      <c r="AL58" s="66"/>
      <c r="AM58" s="66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E58"/>
      <c r="BF58"/>
      <c r="BG58"/>
      <c r="BH58"/>
    </row>
    <row r="59" spans="3:60" s="138" customFormat="1" ht="21" customHeight="1">
      <c r="F59" s="139"/>
      <c r="G59" s="139"/>
      <c r="H59" s="139"/>
      <c r="AM59" s="138">
        <f>+[1]Data!$AK$1+'[2]Attendance list'!$HO$1</f>
        <v>1130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E59"/>
      <c r="BF59"/>
      <c r="BG59"/>
      <c r="BH59"/>
    </row>
    <row r="60" spans="3:60" s="2" customFormat="1" ht="25" hidden="1" customHeight="1">
      <c r="C60" s="327" t="s">
        <v>71</v>
      </c>
      <c r="D60" s="342">
        <v>2025</v>
      </c>
      <c r="E60" s="253" t="s">
        <v>77</v>
      </c>
      <c r="F60" s="124"/>
      <c r="G60" s="124"/>
      <c r="H60" s="124">
        <f>IFERROR(AVERAGEIFS(I60:AM60,I60:AM60,"&gt;0.01",$I$12:$AM$12,"No Sunday"),0)</f>
        <v>0</v>
      </c>
      <c r="I60" s="56" t="e">
        <f>SUM(#REF!)</f>
        <v>#REF!</v>
      </c>
      <c r="J60" s="56"/>
      <c r="K60" s="56" t="e">
        <f>SUM(#REF!)</f>
        <v>#REF!</v>
      </c>
      <c r="L60" s="56" t="e">
        <f>SUM(#REF!)</f>
        <v>#REF!</v>
      </c>
      <c r="M60" s="56" t="e">
        <f>SUM(#REF!)</f>
        <v>#REF!</v>
      </c>
      <c r="N60" s="56" t="e">
        <f>SUM(#REF!)</f>
        <v>#REF!</v>
      </c>
      <c r="O60" s="56" t="e">
        <f>SUM(#REF!)</f>
        <v>#REF!</v>
      </c>
      <c r="P60" s="56" t="e">
        <f>SUM(#REF!)</f>
        <v>#REF!</v>
      </c>
      <c r="Q60" s="56"/>
      <c r="R60" s="56" t="e">
        <f>SUM(#REF!)</f>
        <v>#REF!</v>
      </c>
      <c r="S60" s="56" t="e">
        <f>SUM(#REF!)</f>
        <v>#REF!</v>
      </c>
      <c r="T60" s="56" t="e">
        <f>SUM(#REF!)</f>
        <v>#REF!</v>
      </c>
      <c r="U60" s="56" t="e">
        <f>SUM(#REF!)</f>
        <v>#REF!</v>
      </c>
      <c r="V60" s="56" t="e">
        <f>SUM(#REF!)</f>
        <v>#REF!</v>
      </c>
      <c r="W60" s="56" t="e">
        <f>SUM(#REF!)</f>
        <v>#REF!</v>
      </c>
      <c r="X60" s="56"/>
      <c r="Y60" s="56" t="e">
        <f>SUM(#REF!)</f>
        <v>#REF!</v>
      </c>
      <c r="Z60" s="56" t="e">
        <f>SUM(#REF!)</f>
        <v>#REF!</v>
      </c>
      <c r="AA60" s="56" t="e">
        <f>SUM(#REF!)</f>
        <v>#REF!</v>
      </c>
      <c r="AB60" s="56"/>
      <c r="AC60" s="56"/>
      <c r="AD60" s="56"/>
      <c r="AE60" s="56"/>
      <c r="AF60" s="56"/>
      <c r="AG60" s="56"/>
      <c r="AH60" s="109"/>
      <c r="AI60" s="56"/>
      <c r="AJ60" s="56"/>
      <c r="AK60" s="56"/>
      <c r="AL60" s="56"/>
      <c r="AM60" s="56"/>
    </row>
    <row r="61" spans="3:60" s="2" customFormat="1" ht="25" hidden="1" customHeight="1">
      <c r="C61" s="328"/>
      <c r="D61" s="343"/>
      <c r="E61" s="246" t="s">
        <v>74</v>
      </c>
      <c r="F61" s="247"/>
      <c r="G61" s="247"/>
      <c r="H61" s="125">
        <f t="shared" ref="H61:H95" si="28">IFERROR(AVERAGEIFS(I61:AM61,I61:AM61,"&gt;0.01",$I$12:$AM$12,"No Sunday"),0)</f>
        <v>0</v>
      </c>
      <c r="I61" s="256" t="e">
        <f>SUM(#REF!)</f>
        <v>#REF!</v>
      </c>
      <c r="J61" s="256"/>
      <c r="K61" s="256" t="e">
        <f>SUM(#REF!)</f>
        <v>#REF!</v>
      </c>
      <c r="L61" s="256" t="e">
        <f>SUM(#REF!)</f>
        <v>#REF!</v>
      </c>
      <c r="M61" s="256" t="e">
        <f>SUM(#REF!)</f>
        <v>#REF!</v>
      </c>
      <c r="N61" s="256" t="e">
        <f>SUM(#REF!)</f>
        <v>#REF!</v>
      </c>
      <c r="O61" s="256" t="e">
        <f>SUM(#REF!)</f>
        <v>#REF!</v>
      </c>
      <c r="P61" s="256" t="e">
        <f>SUM(#REF!)</f>
        <v>#REF!</v>
      </c>
      <c r="Q61" s="256"/>
      <c r="R61" s="256" t="e">
        <f>SUM(#REF!)</f>
        <v>#REF!</v>
      </c>
      <c r="S61" s="256" t="e">
        <f>SUM(#REF!)</f>
        <v>#REF!</v>
      </c>
      <c r="T61" s="256" t="e">
        <f>SUM(#REF!)</f>
        <v>#REF!</v>
      </c>
      <c r="U61" s="256" t="e">
        <f>SUM(#REF!)</f>
        <v>#REF!</v>
      </c>
      <c r="V61" s="256" t="e">
        <f>SUM(#REF!)</f>
        <v>#REF!</v>
      </c>
      <c r="W61" s="256" t="e">
        <f>SUM(#REF!)</f>
        <v>#REF!</v>
      </c>
      <c r="X61" s="256"/>
      <c r="Y61" s="256" t="e">
        <f>SUM(#REF!)</f>
        <v>#REF!</v>
      </c>
      <c r="Z61" s="256" t="e">
        <f>SUM(#REF!)</f>
        <v>#REF!</v>
      </c>
      <c r="AA61" s="256" t="e">
        <f>SUM(#REF!)</f>
        <v>#REF!</v>
      </c>
      <c r="AB61" s="256"/>
      <c r="AC61" s="256"/>
      <c r="AD61" s="256"/>
      <c r="AE61" s="256"/>
      <c r="AF61" s="256"/>
      <c r="AG61" s="248"/>
      <c r="AH61" s="249"/>
      <c r="AI61" s="248"/>
      <c r="AJ61" s="248"/>
      <c r="AK61" s="248"/>
      <c r="AL61" s="248"/>
      <c r="AM61" s="248"/>
    </row>
    <row r="62" spans="3:60" s="2" customFormat="1" ht="25" hidden="1" customHeight="1">
      <c r="C62" s="328"/>
      <c r="D62" s="343"/>
      <c r="E62" s="246" t="s">
        <v>72</v>
      </c>
      <c r="F62" s="247"/>
      <c r="G62" s="247"/>
      <c r="H62" s="125">
        <f t="shared" si="28"/>
        <v>0</v>
      </c>
      <c r="I62" s="256" t="e">
        <f>SUM(#REF!)</f>
        <v>#REF!</v>
      </c>
      <c r="J62" s="256"/>
      <c r="K62" s="256" t="e">
        <f>SUM(#REF!)</f>
        <v>#REF!</v>
      </c>
      <c r="L62" s="256" t="e">
        <f>SUM(#REF!)</f>
        <v>#REF!</v>
      </c>
      <c r="M62" s="256" t="e">
        <f>SUM(#REF!)</f>
        <v>#REF!</v>
      </c>
      <c r="N62" s="256" t="e">
        <f>SUM(#REF!)</f>
        <v>#REF!</v>
      </c>
      <c r="O62" s="256" t="e">
        <f>SUM(#REF!)</f>
        <v>#REF!</v>
      </c>
      <c r="P62" s="256" t="e">
        <f>SUM(#REF!)</f>
        <v>#REF!</v>
      </c>
      <c r="Q62" s="256"/>
      <c r="R62" s="256" t="e">
        <f>SUM(#REF!)</f>
        <v>#REF!</v>
      </c>
      <c r="S62" s="256" t="e">
        <f>SUM(#REF!)</f>
        <v>#REF!</v>
      </c>
      <c r="T62" s="256" t="e">
        <f>SUM(#REF!)</f>
        <v>#REF!</v>
      </c>
      <c r="U62" s="256" t="e">
        <f>SUM(#REF!)</f>
        <v>#REF!</v>
      </c>
      <c r="V62" s="256" t="e">
        <f>SUM(#REF!)</f>
        <v>#REF!</v>
      </c>
      <c r="W62" s="256" t="e">
        <f>SUM(#REF!)</f>
        <v>#REF!</v>
      </c>
      <c r="X62" s="256"/>
      <c r="Y62" s="256" t="e">
        <f>SUM(#REF!)</f>
        <v>#REF!</v>
      </c>
      <c r="Z62" s="256" t="e">
        <f>SUM(#REF!)</f>
        <v>#REF!</v>
      </c>
      <c r="AA62" s="256" t="e">
        <f>SUM(#REF!)</f>
        <v>#REF!</v>
      </c>
      <c r="AB62" s="256"/>
      <c r="AC62" s="256"/>
      <c r="AD62" s="256"/>
      <c r="AE62" s="256"/>
      <c r="AF62" s="256"/>
      <c r="AG62" s="248"/>
      <c r="AH62" s="249"/>
      <c r="AI62" s="248"/>
      <c r="AJ62" s="248"/>
      <c r="AK62" s="248"/>
      <c r="AL62" s="248"/>
      <c r="AM62" s="248"/>
    </row>
    <row r="63" spans="3:60" s="2" customFormat="1" ht="25" hidden="1" customHeight="1">
      <c r="C63" s="328"/>
      <c r="D63" s="343"/>
      <c r="E63" s="246" t="s">
        <v>76</v>
      </c>
      <c r="F63" s="247"/>
      <c r="G63" s="247"/>
      <c r="H63" s="125">
        <f t="shared" si="28"/>
        <v>0</v>
      </c>
      <c r="I63" s="256" t="e">
        <f>+#REF!</f>
        <v>#REF!</v>
      </c>
      <c r="J63" s="256"/>
      <c r="K63" s="256" t="e">
        <f>+#REF!</f>
        <v>#REF!</v>
      </c>
      <c r="L63" s="256" t="e">
        <f>+#REF!</f>
        <v>#REF!</v>
      </c>
      <c r="M63" s="256" t="e">
        <f>+#REF!</f>
        <v>#REF!</v>
      </c>
      <c r="N63" s="256" t="e">
        <f>+#REF!</f>
        <v>#REF!</v>
      </c>
      <c r="O63" s="256" t="e">
        <f>+#REF!</f>
        <v>#REF!</v>
      </c>
      <c r="P63" s="256" t="e">
        <f>+#REF!</f>
        <v>#REF!</v>
      </c>
      <c r="Q63" s="256"/>
      <c r="R63" s="256" t="e">
        <f>+#REF!</f>
        <v>#REF!</v>
      </c>
      <c r="S63" s="256" t="e">
        <f>+#REF!</f>
        <v>#REF!</v>
      </c>
      <c r="T63" s="256" t="e">
        <f>+#REF!</f>
        <v>#REF!</v>
      </c>
      <c r="U63" s="256" t="e">
        <f>+#REF!</f>
        <v>#REF!</v>
      </c>
      <c r="V63" s="256" t="e">
        <f>+#REF!</f>
        <v>#REF!</v>
      </c>
      <c r="W63" s="256" t="e">
        <f>+#REF!</f>
        <v>#REF!</v>
      </c>
      <c r="X63" s="256"/>
      <c r="Y63" s="256" t="e">
        <f>+#REF!</f>
        <v>#REF!</v>
      </c>
      <c r="Z63" s="256" t="e">
        <f>+#REF!</f>
        <v>#REF!</v>
      </c>
      <c r="AA63" s="256" t="e">
        <f>+#REF!</f>
        <v>#REF!</v>
      </c>
      <c r="AB63" s="256"/>
      <c r="AC63" s="256"/>
      <c r="AD63" s="256"/>
      <c r="AE63" s="256"/>
      <c r="AF63" s="256"/>
      <c r="AG63" s="248"/>
      <c r="AH63" s="249"/>
      <c r="AI63" s="248"/>
      <c r="AJ63" s="248"/>
      <c r="AK63" s="248"/>
      <c r="AL63" s="248"/>
      <c r="AM63" s="248"/>
    </row>
    <row r="64" spans="3:60" s="2" customFormat="1" ht="25" hidden="1" customHeight="1">
      <c r="C64" s="328"/>
      <c r="D64" s="343"/>
      <c r="E64" s="246" t="s">
        <v>75</v>
      </c>
      <c r="F64" s="247"/>
      <c r="G64" s="247"/>
      <c r="H64" s="125">
        <f t="shared" si="28"/>
        <v>0</v>
      </c>
      <c r="I64" s="256" t="e">
        <f>+#REF!</f>
        <v>#REF!</v>
      </c>
      <c r="J64" s="256"/>
      <c r="K64" s="256" t="e">
        <f>+#REF!</f>
        <v>#REF!</v>
      </c>
      <c r="L64" s="256" t="e">
        <f>+#REF!</f>
        <v>#REF!</v>
      </c>
      <c r="M64" s="256" t="e">
        <f>+#REF!</f>
        <v>#REF!</v>
      </c>
      <c r="N64" s="256" t="e">
        <f>+#REF!</f>
        <v>#REF!</v>
      </c>
      <c r="O64" s="256" t="e">
        <f>+#REF!</f>
        <v>#REF!</v>
      </c>
      <c r="P64" s="256" t="e">
        <f>+#REF!</f>
        <v>#REF!</v>
      </c>
      <c r="Q64" s="256"/>
      <c r="R64" s="256" t="e">
        <f>+#REF!</f>
        <v>#REF!</v>
      </c>
      <c r="S64" s="256" t="e">
        <f>+#REF!</f>
        <v>#REF!</v>
      </c>
      <c r="T64" s="256" t="e">
        <f>+#REF!</f>
        <v>#REF!</v>
      </c>
      <c r="U64" s="256" t="e">
        <f>+#REF!</f>
        <v>#REF!</v>
      </c>
      <c r="V64" s="256" t="e">
        <f>+#REF!</f>
        <v>#REF!</v>
      </c>
      <c r="W64" s="256" t="e">
        <f>+#REF!</f>
        <v>#REF!</v>
      </c>
      <c r="X64" s="256"/>
      <c r="Y64" s="256" t="e">
        <f>+#REF!</f>
        <v>#REF!</v>
      </c>
      <c r="Z64" s="256" t="e">
        <f>+#REF!</f>
        <v>#REF!</v>
      </c>
      <c r="AA64" s="256" t="e">
        <f>+#REF!</f>
        <v>#REF!</v>
      </c>
      <c r="AB64" s="256"/>
      <c r="AC64" s="256"/>
      <c r="AD64" s="256"/>
      <c r="AE64" s="256"/>
      <c r="AF64" s="256"/>
      <c r="AG64" s="248"/>
      <c r="AH64" s="249"/>
      <c r="AI64" s="248"/>
      <c r="AJ64" s="248"/>
      <c r="AK64" s="248"/>
      <c r="AL64" s="248"/>
      <c r="AM64" s="248"/>
    </row>
    <row r="65" spans="3:57" s="2" customFormat="1" ht="25" hidden="1" customHeight="1">
      <c r="C65" s="328"/>
      <c r="D65" s="343"/>
      <c r="E65" s="246" t="s">
        <v>73</v>
      </c>
      <c r="F65" s="247"/>
      <c r="G65" s="247"/>
      <c r="H65" s="125">
        <f t="shared" si="28"/>
        <v>0</v>
      </c>
      <c r="I65" s="256" t="e">
        <f>+#REF!+#REF!</f>
        <v>#REF!</v>
      </c>
      <c r="J65" s="256"/>
      <c r="K65" s="256" t="e">
        <f>+#REF!+#REF!</f>
        <v>#REF!</v>
      </c>
      <c r="L65" s="256" t="e">
        <f>+#REF!+#REF!</f>
        <v>#REF!</v>
      </c>
      <c r="M65" s="256" t="e">
        <f>+#REF!+#REF!</f>
        <v>#REF!</v>
      </c>
      <c r="N65" s="256" t="e">
        <f>+#REF!+#REF!</f>
        <v>#REF!</v>
      </c>
      <c r="O65" s="256" t="e">
        <f>+#REF!+#REF!</f>
        <v>#REF!</v>
      </c>
      <c r="P65" s="256" t="e">
        <f>+#REF!+#REF!</f>
        <v>#REF!</v>
      </c>
      <c r="Q65" s="256"/>
      <c r="R65" s="256" t="e">
        <f>+#REF!+#REF!</f>
        <v>#REF!</v>
      </c>
      <c r="S65" s="256" t="e">
        <f>+#REF!+#REF!</f>
        <v>#REF!</v>
      </c>
      <c r="T65" s="256" t="e">
        <f>+#REF!+#REF!</f>
        <v>#REF!</v>
      </c>
      <c r="U65" s="256" t="e">
        <f>+#REF!+#REF!</f>
        <v>#REF!</v>
      </c>
      <c r="V65" s="256" t="e">
        <f>+#REF!+#REF!</f>
        <v>#REF!</v>
      </c>
      <c r="W65" s="256" t="e">
        <f>+#REF!+#REF!</f>
        <v>#REF!</v>
      </c>
      <c r="X65" s="256"/>
      <c r="Y65" s="256" t="e">
        <f>+#REF!+#REF!</f>
        <v>#REF!</v>
      </c>
      <c r="Z65" s="256" t="e">
        <f>+#REF!+#REF!</f>
        <v>#REF!</v>
      </c>
      <c r="AA65" s="256" t="e">
        <f>+#REF!+#REF!</f>
        <v>#REF!</v>
      </c>
      <c r="AB65" s="256"/>
      <c r="AC65" s="256"/>
      <c r="AD65" s="256"/>
      <c r="AE65" s="256"/>
      <c r="AF65" s="256"/>
      <c r="AG65" s="248"/>
      <c r="AH65" s="249"/>
      <c r="AI65" s="248"/>
      <c r="AJ65" s="248"/>
      <c r="AK65" s="248"/>
      <c r="AL65" s="248"/>
      <c r="AM65" s="248"/>
    </row>
    <row r="66" spans="3:57" s="2" customFormat="1" ht="25" hidden="1" customHeight="1">
      <c r="C66" s="328"/>
      <c r="D66" s="343"/>
      <c r="E66" s="252" t="s">
        <v>78</v>
      </c>
      <c r="F66" s="128"/>
      <c r="G66" s="247"/>
      <c r="H66" s="125">
        <f t="shared" si="28"/>
        <v>0</v>
      </c>
      <c r="I66" s="256" t="e">
        <f>SUM(#REF!)</f>
        <v>#REF!</v>
      </c>
      <c r="J66" s="256"/>
      <c r="K66" s="256" t="e">
        <f>SUM(#REF!)</f>
        <v>#REF!</v>
      </c>
      <c r="L66" s="256" t="e">
        <f>SUM(#REF!)</f>
        <v>#REF!</v>
      </c>
      <c r="M66" s="256" t="e">
        <f>SUM(#REF!)</f>
        <v>#REF!</v>
      </c>
      <c r="N66" s="256" t="e">
        <f>SUM(#REF!)</f>
        <v>#REF!</v>
      </c>
      <c r="O66" s="256" t="e">
        <f>SUM(#REF!)</f>
        <v>#REF!</v>
      </c>
      <c r="P66" s="256" t="e">
        <f>SUM(#REF!)</f>
        <v>#REF!</v>
      </c>
      <c r="Q66" s="256"/>
      <c r="R66" s="256" t="e">
        <f>SUM(#REF!)</f>
        <v>#REF!</v>
      </c>
      <c r="S66" s="256" t="e">
        <f>SUM(#REF!)</f>
        <v>#REF!</v>
      </c>
      <c r="T66" s="256" t="e">
        <f>SUM(#REF!)</f>
        <v>#REF!</v>
      </c>
      <c r="U66" s="256" t="e">
        <f>SUM(#REF!)</f>
        <v>#REF!</v>
      </c>
      <c r="V66" s="256" t="e">
        <f>SUM(#REF!)</f>
        <v>#REF!</v>
      </c>
      <c r="W66" s="256" t="e">
        <f>SUM(#REF!)</f>
        <v>#REF!</v>
      </c>
      <c r="X66" s="256"/>
      <c r="Y66" s="256" t="e">
        <f>SUM(#REF!)</f>
        <v>#REF!</v>
      </c>
      <c r="Z66" s="256" t="e">
        <f>SUM(#REF!)</f>
        <v>#REF!</v>
      </c>
      <c r="AA66" s="256" t="e">
        <f>SUM(#REF!)</f>
        <v>#REF!</v>
      </c>
      <c r="AB66" s="256"/>
      <c r="AC66" s="256"/>
      <c r="AD66" s="256"/>
      <c r="AE66" s="256"/>
      <c r="AF66" s="256"/>
      <c r="AG66" s="57"/>
      <c r="AH66" s="110"/>
      <c r="AI66" s="57"/>
      <c r="AJ66" s="57"/>
      <c r="AK66" s="57"/>
      <c r="AL66" s="57"/>
      <c r="AM66" s="57"/>
      <c r="BE66" s="137"/>
    </row>
    <row r="67" spans="3:57" s="2" customFormat="1" ht="25" hidden="1" customHeight="1">
      <c r="C67" s="328"/>
      <c r="D67" s="343"/>
      <c r="E67" s="246" t="s">
        <v>74</v>
      </c>
      <c r="F67" s="247"/>
      <c r="G67" s="247"/>
      <c r="H67" s="125">
        <f t="shared" si="28"/>
        <v>0</v>
      </c>
      <c r="I67" s="256" t="e">
        <f>SUM(#REF!)</f>
        <v>#REF!</v>
      </c>
      <c r="J67" s="256"/>
      <c r="K67" s="256" t="e">
        <f>SUM(#REF!)</f>
        <v>#REF!</v>
      </c>
      <c r="L67" s="256" t="e">
        <f>SUM(#REF!)</f>
        <v>#REF!</v>
      </c>
      <c r="M67" s="256" t="e">
        <f>SUM(#REF!)</f>
        <v>#REF!</v>
      </c>
      <c r="N67" s="256" t="e">
        <f>SUM(#REF!)</f>
        <v>#REF!</v>
      </c>
      <c r="O67" s="256" t="e">
        <f>SUM(#REF!)</f>
        <v>#REF!</v>
      </c>
      <c r="P67" s="256" t="e">
        <f>SUM(#REF!)</f>
        <v>#REF!</v>
      </c>
      <c r="Q67" s="256"/>
      <c r="R67" s="256" t="e">
        <f>SUM(#REF!)</f>
        <v>#REF!</v>
      </c>
      <c r="S67" s="256" t="e">
        <f>SUM(#REF!)</f>
        <v>#REF!</v>
      </c>
      <c r="T67" s="256" t="e">
        <f>SUM(#REF!)</f>
        <v>#REF!</v>
      </c>
      <c r="U67" s="256" t="e">
        <f>SUM(#REF!)</f>
        <v>#REF!</v>
      </c>
      <c r="V67" s="256" t="e">
        <f>SUM(#REF!)</f>
        <v>#REF!</v>
      </c>
      <c r="W67" s="256" t="e">
        <f>SUM(#REF!)</f>
        <v>#REF!</v>
      </c>
      <c r="X67" s="256"/>
      <c r="Y67" s="256" t="e">
        <f>SUM(#REF!)</f>
        <v>#REF!</v>
      </c>
      <c r="Z67" s="256" t="e">
        <f>SUM(#REF!)</f>
        <v>#REF!</v>
      </c>
      <c r="AA67" s="256" t="e">
        <f>SUM(#REF!)</f>
        <v>#REF!</v>
      </c>
      <c r="AB67" s="256"/>
      <c r="AC67" s="256"/>
      <c r="AD67" s="256"/>
      <c r="AE67" s="256"/>
      <c r="AF67" s="256"/>
      <c r="AG67" s="248"/>
      <c r="AH67" s="249"/>
      <c r="AI67" s="248"/>
      <c r="AJ67" s="248"/>
      <c r="AK67" s="248"/>
      <c r="AL67" s="248"/>
      <c r="AM67" s="248"/>
    </row>
    <row r="68" spans="3:57" s="2" customFormat="1" ht="25" hidden="1" customHeight="1">
      <c r="C68" s="328"/>
      <c r="D68" s="343"/>
      <c r="E68" s="246" t="s">
        <v>72</v>
      </c>
      <c r="F68" s="247"/>
      <c r="G68" s="247"/>
      <c r="H68" s="125">
        <f t="shared" si="28"/>
        <v>0</v>
      </c>
      <c r="I68" s="256" t="e">
        <f>SUM(#REF!)</f>
        <v>#REF!</v>
      </c>
      <c r="J68" s="256"/>
      <c r="K68" s="256" t="e">
        <f>SUM(#REF!)</f>
        <v>#REF!</v>
      </c>
      <c r="L68" s="256" t="e">
        <f>SUM(#REF!)</f>
        <v>#REF!</v>
      </c>
      <c r="M68" s="256" t="e">
        <f>SUM(#REF!)</f>
        <v>#REF!</v>
      </c>
      <c r="N68" s="256" t="e">
        <f>SUM(#REF!)</f>
        <v>#REF!</v>
      </c>
      <c r="O68" s="256" t="e">
        <f>SUM(#REF!)</f>
        <v>#REF!</v>
      </c>
      <c r="P68" s="256" t="e">
        <f>SUM(#REF!)</f>
        <v>#REF!</v>
      </c>
      <c r="Q68" s="256"/>
      <c r="R68" s="256" t="e">
        <f>SUM(#REF!)</f>
        <v>#REF!</v>
      </c>
      <c r="S68" s="256" t="e">
        <f>SUM(#REF!)</f>
        <v>#REF!</v>
      </c>
      <c r="T68" s="256" t="e">
        <f>SUM(#REF!)</f>
        <v>#REF!</v>
      </c>
      <c r="U68" s="256" t="e">
        <f>SUM(#REF!)</f>
        <v>#REF!</v>
      </c>
      <c r="V68" s="256" t="e">
        <f>SUM(#REF!)</f>
        <v>#REF!</v>
      </c>
      <c r="W68" s="256" t="e">
        <f>SUM(#REF!)</f>
        <v>#REF!</v>
      </c>
      <c r="X68" s="256"/>
      <c r="Y68" s="256" t="e">
        <f>SUM(#REF!)</f>
        <v>#REF!</v>
      </c>
      <c r="Z68" s="256" t="e">
        <f>SUM(#REF!)</f>
        <v>#REF!</v>
      </c>
      <c r="AA68" s="256" t="e">
        <f>SUM(#REF!)</f>
        <v>#REF!</v>
      </c>
      <c r="AB68" s="256"/>
      <c r="AC68" s="256"/>
      <c r="AD68" s="256"/>
      <c r="AE68" s="256"/>
      <c r="AF68" s="256"/>
      <c r="AG68" s="248"/>
      <c r="AH68" s="249"/>
      <c r="AI68" s="248"/>
      <c r="AJ68" s="248"/>
      <c r="AK68" s="248"/>
      <c r="AL68" s="248"/>
      <c r="AM68" s="248"/>
    </row>
    <row r="69" spans="3:57" s="2" customFormat="1" ht="25" hidden="1" customHeight="1">
      <c r="C69" s="328"/>
      <c r="D69" s="343"/>
      <c r="E69" s="246" t="s">
        <v>76</v>
      </c>
      <c r="F69" s="247"/>
      <c r="G69" s="247"/>
      <c r="H69" s="125">
        <f t="shared" si="28"/>
        <v>0</v>
      </c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48"/>
      <c r="AH69" s="249"/>
      <c r="AI69" s="248"/>
      <c r="AJ69" s="248"/>
      <c r="AK69" s="248"/>
      <c r="AL69" s="248"/>
      <c r="AM69" s="248"/>
    </row>
    <row r="70" spans="3:57" s="2" customFormat="1" ht="25" hidden="1" customHeight="1">
      <c r="C70" s="328"/>
      <c r="D70" s="343"/>
      <c r="E70" s="246" t="s">
        <v>75</v>
      </c>
      <c r="F70" s="247"/>
      <c r="G70" s="247"/>
      <c r="H70" s="125">
        <f t="shared" si="28"/>
        <v>0</v>
      </c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48"/>
      <c r="AH70" s="249"/>
      <c r="AI70" s="248"/>
      <c r="AJ70" s="248"/>
      <c r="AK70" s="248"/>
      <c r="AL70" s="248"/>
      <c r="AM70" s="248"/>
    </row>
    <row r="71" spans="3:57" s="2" customFormat="1" ht="25" hidden="1" customHeight="1">
      <c r="C71" s="328"/>
      <c r="D71" s="343"/>
      <c r="E71" s="246" t="s">
        <v>73</v>
      </c>
      <c r="F71" s="247"/>
      <c r="G71" s="247"/>
      <c r="H71" s="125">
        <f t="shared" si="28"/>
        <v>0</v>
      </c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48"/>
      <c r="AH71" s="249"/>
      <c r="AI71" s="248"/>
      <c r="AJ71" s="248"/>
      <c r="AK71" s="248"/>
      <c r="AL71" s="248"/>
      <c r="AM71" s="248"/>
    </row>
    <row r="72" spans="3:57" s="2" customFormat="1" ht="25" hidden="1" customHeight="1">
      <c r="C72" s="328"/>
      <c r="D72" s="343"/>
      <c r="E72" s="252" t="s">
        <v>79</v>
      </c>
      <c r="F72" s="129"/>
      <c r="G72" s="247"/>
      <c r="H72" s="125">
        <f t="shared" si="28"/>
        <v>0</v>
      </c>
      <c r="I72" s="256" t="e">
        <f>SUM(#REF!)</f>
        <v>#REF!</v>
      </c>
      <c r="J72" s="256"/>
      <c r="K72" s="256" t="e">
        <f>SUM(#REF!)</f>
        <v>#REF!</v>
      </c>
      <c r="L72" s="256" t="e">
        <f>SUM(#REF!)</f>
        <v>#REF!</v>
      </c>
      <c r="M72" s="256" t="e">
        <f>SUM(#REF!)</f>
        <v>#REF!</v>
      </c>
      <c r="N72" s="256" t="e">
        <f>SUM(#REF!)</f>
        <v>#REF!</v>
      </c>
      <c r="O72" s="256" t="e">
        <f>SUM(#REF!)</f>
        <v>#REF!</v>
      </c>
      <c r="P72" s="256" t="e">
        <f>SUM(#REF!)</f>
        <v>#REF!</v>
      </c>
      <c r="Q72" s="256"/>
      <c r="R72" s="256" t="e">
        <f>SUM(#REF!)</f>
        <v>#REF!</v>
      </c>
      <c r="S72" s="256" t="e">
        <f>SUM(#REF!)</f>
        <v>#REF!</v>
      </c>
      <c r="T72" s="256" t="e">
        <f>SUM(#REF!)</f>
        <v>#REF!</v>
      </c>
      <c r="U72" s="256" t="e">
        <f>SUM(#REF!)</f>
        <v>#REF!</v>
      </c>
      <c r="V72" s="256" t="e">
        <f>SUM(#REF!)</f>
        <v>#REF!</v>
      </c>
      <c r="W72" s="256" t="e">
        <f>SUM(#REF!)</f>
        <v>#REF!</v>
      </c>
      <c r="X72" s="256"/>
      <c r="Y72" s="256" t="e">
        <f>SUM(#REF!)</f>
        <v>#REF!</v>
      </c>
      <c r="Z72" s="256" t="e">
        <f>SUM(#REF!)</f>
        <v>#REF!</v>
      </c>
      <c r="AA72" s="256" t="e">
        <f>SUM(#REF!)</f>
        <v>#REF!</v>
      </c>
      <c r="AB72" s="256"/>
      <c r="AC72" s="256"/>
      <c r="AD72" s="256"/>
      <c r="AE72" s="256"/>
      <c r="AF72" s="256"/>
      <c r="AG72" s="58"/>
      <c r="AH72" s="111"/>
      <c r="AI72" s="58"/>
      <c r="AJ72" s="58"/>
      <c r="AK72" s="58"/>
      <c r="AL72" s="58"/>
      <c r="AM72" s="58"/>
    </row>
    <row r="73" spans="3:57" s="2" customFormat="1" ht="25" hidden="1" customHeight="1">
      <c r="C73" s="328"/>
      <c r="D73" s="343"/>
      <c r="E73" s="246" t="s">
        <v>74</v>
      </c>
      <c r="F73" s="247"/>
      <c r="G73" s="247"/>
      <c r="H73" s="125">
        <f t="shared" si="28"/>
        <v>0</v>
      </c>
      <c r="I73" s="256" t="e">
        <f>SUM(#REF!)</f>
        <v>#REF!</v>
      </c>
      <c r="J73" s="256"/>
      <c r="K73" s="256" t="e">
        <f>SUM(#REF!)</f>
        <v>#REF!</v>
      </c>
      <c r="L73" s="256" t="e">
        <f>SUM(#REF!)</f>
        <v>#REF!</v>
      </c>
      <c r="M73" s="256" t="e">
        <f>SUM(#REF!)</f>
        <v>#REF!</v>
      </c>
      <c r="N73" s="256" t="e">
        <f>SUM(#REF!)</f>
        <v>#REF!</v>
      </c>
      <c r="O73" s="256" t="e">
        <f>SUM(#REF!)</f>
        <v>#REF!</v>
      </c>
      <c r="P73" s="256" t="e">
        <f>SUM(#REF!)</f>
        <v>#REF!</v>
      </c>
      <c r="Q73" s="256"/>
      <c r="R73" s="256" t="e">
        <f>SUM(#REF!)</f>
        <v>#REF!</v>
      </c>
      <c r="S73" s="256" t="e">
        <f>SUM(#REF!)</f>
        <v>#REF!</v>
      </c>
      <c r="T73" s="256" t="e">
        <f>SUM(#REF!)</f>
        <v>#REF!</v>
      </c>
      <c r="U73" s="256" t="e">
        <f>SUM(#REF!)</f>
        <v>#REF!</v>
      </c>
      <c r="V73" s="256" t="e">
        <f>SUM(#REF!)</f>
        <v>#REF!</v>
      </c>
      <c r="W73" s="256" t="e">
        <f>SUM(#REF!)</f>
        <v>#REF!</v>
      </c>
      <c r="X73" s="256"/>
      <c r="Y73" s="256" t="e">
        <f>SUM(#REF!)</f>
        <v>#REF!</v>
      </c>
      <c r="Z73" s="256" t="e">
        <f>SUM(#REF!)</f>
        <v>#REF!</v>
      </c>
      <c r="AA73" s="256" t="e">
        <f>SUM(#REF!)</f>
        <v>#REF!</v>
      </c>
      <c r="AB73" s="256"/>
      <c r="AC73" s="256"/>
      <c r="AD73" s="256"/>
      <c r="AE73" s="256"/>
      <c r="AF73" s="256"/>
      <c r="AG73" s="248"/>
      <c r="AH73" s="249"/>
      <c r="AI73" s="248"/>
      <c r="AJ73" s="248"/>
      <c r="AK73" s="248"/>
      <c r="AL73" s="248"/>
      <c r="AM73" s="248"/>
    </row>
    <row r="74" spans="3:57" s="2" customFormat="1" ht="25" hidden="1" customHeight="1">
      <c r="C74" s="328"/>
      <c r="D74" s="343"/>
      <c r="E74" s="246" t="s">
        <v>72</v>
      </c>
      <c r="F74" s="247"/>
      <c r="G74" s="247"/>
      <c r="H74" s="125">
        <f t="shared" si="28"/>
        <v>0</v>
      </c>
      <c r="I74" s="256" t="e">
        <f>SUM(#REF!)</f>
        <v>#REF!</v>
      </c>
      <c r="J74" s="256"/>
      <c r="K74" s="256" t="e">
        <f>SUM(#REF!)</f>
        <v>#REF!</v>
      </c>
      <c r="L74" s="256" t="e">
        <f>SUM(#REF!)</f>
        <v>#REF!</v>
      </c>
      <c r="M74" s="256" t="e">
        <f>SUM(#REF!)</f>
        <v>#REF!</v>
      </c>
      <c r="N74" s="256" t="e">
        <f>SUM(#REF!)</f>
        <v>#REF!</v>
      </c>
      <c r="O74" s="256" t="e">
        <f>SUM(#REF!)</f>
        <v>#REF!</v>
      </c>
      <c r="P74" s="256" t="e">
        <f>SUM(#REF!)</f>
        <v>#REF!</v>
      </c>
      <c r="Q74" s="256"/>
      <c r="R74" s="256" t="e">
        <f>SUM(#REF!)</f>
        <v>#REF!</v>
      </c>
      <c r="S74" s="256" t="e">
        <f>SUM(#REF!)</f>
        <v>#REF!</v>
      </c>
      <c r="T74" s="256" t="e">
        <f>SUM(#REF!)</f>
        <v>#REF!</v>
      </c>
      <c r="U74" s="256" t="e">
        <f>SUM(#REF!)</f>
        <v>#REF!</v>
      </c>
      <c r="V74" s="256" t="e">
        <f>SUM(#REF!)</f>
        <v>#REF!</v>
      </c>
      <c r="W74" s="256" t="e">
        <f>SUM(#REF!)</f>
        <v>#REF!</v>
      </c>
      <c r="X74" s="256"/>
      <c r="Y74" s="256" t="e">
        <f>SUM(#REF!)</f>
        <v>#REF!</v>
      </c>
      <c r="Z74" s="256" t="e">
        <f>SUM(#REF!)</f>
        <v>#REF!</v>
      </c>
      <c r="AA74" s="256" t="e">
        <f>SUM(#REF!)</f>
        <v>#REF!</v>
      </c>
      <c r="AB74" s="256"/>
      <c r="AC74" s="256"/>
      <c r="AD74" s="256"/>
      <c r="AE74" s="256"/>
      <c r="AF74" s="256"/>
      <c r="AG74" s="248"/>
      <c r="AH74" s="249"/>
      <c r="AI74" s="248"/>
      <c r="AJ74" s="248"/>
      <c r="AK74" s="248"/>
      <c r="AL74" s="248"/>
      <c r="AM74" s="248"/>
    </row>
    <row r="75" spans="3:57" s="2" customFormat="1" ht="25" hidden="1" customHeight="1">
      <c r="C75" s="328"/>
      <c r="D75" s="343"/>
      <c r="E75" s="246" t="s">
        <v>76</v>
      </c>
      <c r="F75" s="247"/>
      <c r="G75" s="247"/>
      <c r="H75" s="125">
        <f t="shared" si="28"/>
        <v>0</v>
      </c>
      <c r="I75" s="256" t="e">
        <f>SUM(#REF!)</f>
        <v>#REF!</v>
      </c>
      <c r="J75" s="256"/>
      <c r="K75" s="256" t="e">
        <f>SUM(#REF!)</f>
        <v>#REF!</v>
      </c>
      <c r="L75" s="256" t="e">
        <f>SUM(#REF!)</f>
        <v>#REF!</v>
      </c>
      <c r="M75" s="256" t="e">
        <f>SUM(#REF!)</f>
        <v>#REF!</v>
      </c>
      <c r="N75" s="256" t="e">
        <f>SUM(#REF!)</f>
        <v>#REF!</v>
      </c>
      <c r="O75" s="256" t="e">
        <f>SUM(#REF!)</f>
        <v>#REF!</v>
      </c>
      <c r="P75" s="256" t="e">
        <f>SUM(#REF!)</f>
        <v>#REF!</v>
      </c>
      <c r="Q75" s="256"/>
      <c r="R75" s="256" t="e">
        <f>SUM(#REF!)</f>
        <v>#REF!</v>
      </c>
      <c r="S75" s="256" t="e">
        <f>SUM(#REF!)</f>
        <v>#REF!</v>
      </c>
      <c r="T75" s="256" t="e">
        <f>SUM(#REF!)</f>
        <v>#REF!</v>
      </c>
      <c r="U75" s="256" t="e">
        <f>SUM(#REF!)</f>
        <v>#REF!</v>
      </c>
      <c r="V75" s="256" t="e">
        <f>SUM(#REF!)</f>
        <v>#REF!</v>
      </c>
      <c r="W75" s="256" t="e">
        <f>SUM(#REF!)</f>
        <v>#REF!</v>
      </c>
      <c r="X75" s="256"/>
      <c r="Y75" s="256" t="e">
        <f>SUM(#REF!)</f>
        <v>#REF!</v>
      </c>
      <c r="Z75" s="256" t="e">
        <f>SUM(#REF!)</f>
        <v>#REF!</v>
      </c>
      <c r="AA75" s="256" t="e">
        <f>SUM(#REF!)</f>
        <v>#REF!</v>
      </c>
      <c r="AB75" s="256"/>
      <c r="AC75" s="256"/>
      <c r="AD75" s="256"/>
      <c r="AE75" s="256"/>
      <c r="AF75" s="256"/>
      <c r="AG75" s="248"/>
      <c r="AH75" s="249"/>
      <c r="AI75" s="248"/>
      <c r="AJ75" s="248"/>
      <c r="AK75" s="248"/>
      <c r="AL75" s="248"/>
      <c r="AM75" s="248"/>
    </row>
    <row r="76" spans="3:57" s="2" customFormat="1" ht="25" hidden="1" customHeight="1">
      <c r="C76" s="328"/>
      <c r="D76" s="343"/>
      <c r="E76" s="246" t="s">
        <v>75</v>
      </c>
      <c r="F76" s="247"/>
      <c r="G76" s="247"/>
      <c r="H76" s="125">
        <f t="shared" si="28"/>
        <v>0</v>
      </c>
      <c r="I76" s="256" t="e">
        <f>SUM(#REF!)</f>
        <v>#REF!</v>
      </c>
      <c r="J76" s="256"/>
      <c r="K76" s="256" t="e">
        <f>SUM(#REF!)</f>
        <v>#REF!</v>
      </c>
      <c r="L76" s="256" t="e">
        <f>SUM(#REF!)</f>
        <v>#REF!</v>
      </c>
      <c r="M76" s="256" t="e">
        <f>SUM(#REF!)</f>
        <v>#REF!</v>
      </c>
      <c r="N76" s="256" t="e">
        <f>SUM(#REF!)</f>
        <v>#REF!</v>
      </c>
      <c r="O76" s="256" t="e">
        <f>SUM(#REF!)</f>
        <v>#REF!</v>
      </c>
      <c r="P76" s="256" t="e">
        <f>SUM(#REF!)</f>
        <v>#REF!</v>
      </c>
      <c r="Q76" s="256"/>
      <c r="R76" s="256" t="e">
        <f>SUM(#REF!)</f>
        <v>#REF!</v>
      </c>
      <c r="S76" s="256" t="e">
        <f>SUM(#REF!)</f>
        <v>#REF!</v>
      </c>
      <c r="T76" s="256" t="e">
        <f>SUM(#REF!)</f>
        <v>#REF!</v>
      </c>
      <c r="U76" s="256" t="e">
        <f>SUM(#REF!)</f>
        <v>#REF!</v>
      </c>
      <c r="V76" s="256" t="e">
        <f>SUM(#REF!)</f>
        <v>#REF!</v>
      </c>
      <c r="W76" s="256" t="e">
        <f>SUM(#REF!)</f>
        <v>#REF!</v>
      </c>
      <c r="X76" s="256"/>
      <c r="Y76" s="256" t="e">
        <f>SUM(#REF!)</f>
        <v>#REF!</v>
      </c>
      <c r="Z76" s="256" t="e">
        <f>SUM(#REF!)</f>
        <v>#REF!</v>
      </c>
      <c r="AA76" s="256" t="e">
        <f>SUM(#REF!)</f>
        <v>#REF!</v>
      </c>
      <c r="AB76" s="256"/>
      <c r="AC76" s="256"/>
      <c r="AD76" s="256"/>
      <c r="AE76" s="256"/>
      <c r="AF76" s="256"/>
      <c r="AG76" s="248"/>
      <c r="AH76" s="249"/>
      <c r="AI76" s="248"/>
      <c r="AJ76" s="248"/>
      <c r="AK76" s="248"/>
      <c r="AL76" s="248"/>
      <c r="AM76" s="248"/>
    </row>
    <row r="77" spans="3:57" s="2" customFormat="1" ht="25" hidden="1" customHeight="1">
      <c r="C77" s="328"/>
      <c r="D77" s="343"/>
      <c r="E77" s="246" t="s">
        <v>73</v>
      </c>
      <c r="F77" s="247"/>
      <c r="G77" s="247"/>
      <c r="H77" s="125">
        <f t="shared" si="28"/>
        <v>0</v>
      </c>
      <c r="I77" s="256" t="e">
        <f>SUM(#REF!)+SUM(#REF!)</f>
        <v>#REF!</v>
      </c>
      <c r="J77" s="256"/>
      <c r="K77" s="256" t="e">
        <f>SUM(#REF!)+SUM(#REF!)</f>
        <v>#REF!</v>
      </c>
      <c r="L77" s="256" t="e">
        <f>SUM(#REF!)+SUM(#REF!)</f>
        <v>#REF!</v>
      </c>
      <c r="M77" s="256" t="e">
        <f>SUM(#REF!)+SUM(#REF!)</f>
        <v>#REF!</v>
      </c>
      <c r="N77" s="256" t="e">
        <f>SUM(#REF!)+SUM(#REF!)</f>
        <v>#REF!</v>
      </c>
      <c r="O77" s="256" t="e">
        <f>SUM(#REF!)+SUM(#REF!)</f>
        <v>#REF!</v>
      </c>
      <c r="P77" s="256" t="e">
        <f>SUM(#REF!)+SUM(#REF!)</f>
        <v>#REF!</v>
      </c>
      <c r="Q77" s="256"/>
      <c r="R77" s="256" t="e">
        <f>SUM(#REF!)+SUM(#REF!)</f>
        <v>#REF!</v>
      </c>
      <c r="S77" s="256" t="e">
        <f>SUM(#REF!)+SUM(#REF!)</f>
        <v>#REF!</v>
      </c>
      <c r="T77" s="256" t="e">
        <f>SUM(#REF!)+SUM(#REF!)</f>
        <v>#REF!</v>
      </c>
      <c r="U77" s="256" t="e">
        <f>SUM(#REF!)+SUM(#REF!)</f>
        <v>#REF!</v>
      </c>
      <c r="V77" s="256" t="e">
        <f>SUM(#REF!)+SUM(#REF!)</f>
        <v>#REF!</v>
      </c>
      <c r="W77" s="256" t="e">
        <f>SUM(#REF!)+SUM(#REF!)</f>
        <v>#REF!</v>
      </c>
      <c r="X77" s="256"/>
      <c r="Y77" s="256" t="e">
        <f>SUM(#REF!)+SUM(#REF!)</f>
        <v>#REF!</v>
      </c>
      <c r="Z77" s="256" t="e">
        <f>SUM(#REF!)+SUM(#REF!)</f>
        <v>#REF!</v>
      </c>
      <c r="AA77" s="256" t="e">
        <f>SUM(#REF!)+SUM(#REF!)</f>
        <v>#REF!</v>
      </c>
      <c r="AB77" s="256"/>
      <c r="AC77" s="256"/>
      <c r="AD77" s="256"/>
      <c r="AE77" s="256"/>
      <c r="AF77" s="256"/>
      <c r="AG77" s="248"/>
      <c r="AH77" s="249"/>
      <c r="AI77" s="248"/>
      <c r="AJ77" s="248"/>
      <c r="AK77" s="248"/>
      <c r="AL77" s="248"/>
      <c r="AM77" s="248"/>
    </row>
    <row r="78" spans="3:57" s="2" customFormat="1" ht="25" hidden="1" customHeight="1">
      <c r="C78" s="328"/>
      <c r="D78" s="343"/>
      <c r="E78" s="254" t="s">
        <v>80</v>
      </c>
      <c r="F78" s="125"/>
      <c r="G78" s="247"/>
      <c r="H78" s="125">
        <f t="shared" si="28"/>
        <v>0</v>
      </c>
      <c r="I78" s="256" t="e">
        <f>SUM(#REF!)</f>
        <v>#REF!</v>
      </c>
      <c r="J78" s="256"/>
      <c r="K78" s="256" t="e">
        <f>SUM(#REF!)</f>
        <v>#REF!</v>
      </c>
      <c r="L78" s="256" t="e">
        <f>SUM(#REF!)</f>
        <v>#REF!</v>
      </c>
      <c r="M78" s="256" t="e">
        <f>SUM(#REF!)</f>
        <v>#REF!</v>
      </c>
      <c r="N78" s="256" t="e">
        <f>SUM(#REF!)</f>
        <v>#REF!</v>
      </c>
      <c r="O78" s="256" t="e">
        <f>SUM(#REF!)</f>
        <v>#REF!</v>
      </c>
      <c r="P78" s="256" t="e">
        <f>SUM(#REF!)</f>
        <v>#REF!</v>
      </c>
      <c r="Q78" s="256"/>
      <c r="R78" s="256" t="e">
        <f>SUM(#REF!)</f>
        <v>#REF!</v>
      </c>
      <c r="S78" s="256" t="e">
        <f>SUM(#REF!)</f>
        <v>#REF!</v>
      </c>
      <c r="T78" s="256" t="e">
        <f>SUM(#REF!)</f>
        <v>#REF!</v>
      </c>
      <c r="U78" s="256" t="e">
        <f>SUM(#REF!)</f>
        <v>#REF!</v>
      </c>
      <c r="V78" s="256" t="e">
        <f>SUM(#REF!)</f>
        <v>#REF!</v>
      </c>
      <c r="W78" s="256" t="e">
        <f>SUM(#REF!)</f>
        <v>#REF!</v>
      </c>
      <c r="X78" s="256"/>
      <c r="Y78" s="256" t="e">
        <f>SUM(#REF!)</f>
        <v>#REF!</v>
      </c>
      <c r="Z78" s="256" t="e">
        <f>SUM(#REF!)</f>
        <v>#REF!</v>
      </c>
      <c r="AA78" s="256" t="e">
        <f>SUM(#REF!)</f>
        <v>#REF!</v>
      </c>
      <c r="AB78" s="256"/>
      <c r="AC78" s="256"/>
      <c r="AD78" s="256"/>
      <c r="AE78" s="256"/>
      <c r="AF78" s="256"/>
      <c r="AG78" s="59"/>
      <c r="AH78" s="112"/>
      <c r="AI78" s="59"/>
      <c r="AJ78" s="59"/>
      <c r="AK78" s="59"/>
      <c r="AL78" s="59"/>
      <c r="AM78" s="59"/>
    </row>
    <row r="79" spans="3:57" s="2" customFormat="1" ht="25" hidden="1" customHeight="1">
      <c r="C79" s="328"/>
      <c r="D79" s="343"/>
      <c r="E79" s="246" t="s">
        <v>74</v>
      </c>
      <c r="F79" s="247"/>
      <c r="G79" s="247"/>
      <c r="H79" s="125">
        <f t="shared" si="28"/>
        <v>0</v>
      </c>
      <c r="I79" s="256" t="e">
        <f>SUM(#REF!)</f>
        <v>#REF!</v>
      </c>
      <c r="J79" s="256"/>
      <c r="K79" s="256" t="e">
        <f>SUM(#REF!)</f>
        <v>#REF!</v>
      </c>
      <c r="L79" s="256" t="e">
        <f>SUM(#REF!)</f>
        <v>#REF!</v>
      </c>
      <c r="M79" s="256" t="e">
        <f>SUM(#REF!)</f>
        <v>#REF!</v>
      </c>
      <c r="N79" s="256" t="e">
        <f>SUM(#REF!)</f>
        <v>#REF!</v>
      </c>
      <c r="O79" s="256" t="e">
        <f>SUM(#REF!)</f>
        <v>#REF!</v>
      </c>
      <c r="P79" s="256" t="e">
        <f>SUM(#REF!)</f>
        <v>#REF!</v>
      </c>
      <c r="Q79" s="256"/>
      <c r="R79" s="256" t="e">
        <f>SUM(#REF!)</f>
        <v>#REF!</v>
      </c>
      <c r="S79" s="256" t="e">
        <f>SUM(#REF!)</f>
        <v>#REF!</v>
      </c>
      <c r="T79" s="256" t="e">
        <f>SUM(#REF!)</f>
        <v>#REF!</v>
      </c>
      <c r="U79" s="256" t="e">
        <f>SUM(#REF!)</f>
        <v>#REF!</v>
      </c>
      <c r="V79" s="256" t="e">
        <f>SUM(#REF!)</f>
        <v>#REF!</v>
      </c>
      <c r="W79" s="256" t="e">
        <f>SUM(#REF!)</f>
        <v>#REF!</v>
      </c>
      <c r="X79" s="256"/>
      <c r="Y79" s="256" t="e">
        <f>SUM(#REF!)</f>
        <v>#REF!</v>
      </c>
      <c r="Z79" s="256" t="e">
        <f>SUM(#REF!)</f>
        <v>#REF!</v>
      </c>
      <c r="AA79" s="256" t="e">
        <f>SUM(#REF!)</f>
        <v>#REF!</v>
      </c>
      <c r="AB79" s="256"/>
      <c r="AC79" s="256"/>
      <c r="AD79" s="256"/>
      <c r="AE79" s="256"/>
      <c r="AF79" s="256"/>
      <c r="AG79" s="248"/>
      <c r="AH79" s="249"/>
      <c r="AI79" s="248"/>
      <c r="AJ79" s="248"/>
      <c r="AK79" s="248"/>
      <c r="AL79" s="248"/>
      <c r="AM79" s="248"/>
    </row>
    <row r="80" spans="3:57" s="2" customFormat="1" ht="25" hidden="1" customHeight="1">
      <c r="C80" s="328"/>
      <c r="D80" s="343"/>
      <c r="E80" s="246" t="s">
        <v>72</v>
      </c>
      <c r="F80" s="247"/>
      <c r="G80" s="247"/>
      <c r="H80" s="125">
        <f t="shared" si="28"/>
        <v>0</v>
      </c>
      <c r="I80" s="256" t="e">
        <f>SUM(#REF!)</f>
        <v>#REF!</v>
      </c>
      <c r="J80" s="256"/>
      <c r="K80" s="256" t="e">
        <f>SUM(#REF!)</f>
        <v>#REF!</v>
      </c>
      <c r="L80" s="256" t="e">
        <f>SUM(#REF!)</f>
        <v>#REF!</v>
      </c>
      <c r="M80" s="256" t="e">
        <f>SUM(#REF!)</f>
        <v>#REF!</v>
      </c>
      <c r="N80" s="256" t="e">
        <f>SUM(#REF!)</f>
        <v>#REF!</v>
      </c>
      <c r="O80" s="256" t="e">
        <f>SUM(#REF!)</f>
        <v>#REF!</v>
      </c>
      <c r="P80" s="256" t="e">
        <f>SUM(#REF!)</f>
        <v>#REF!</v>
      </c>
      <c r="Q80" s="256"/>
      <c r="R80" s="256" t="e">
        <f>SUM(#REF!)</f>
        <v>#REF!</v>
      </c>
      <c r="S80" s="256" t="e">
        <f>SUM(#REF!)</f>
        <v>#REF!</v>
      </c>
      <c r="T80" s="256" t="e">
        <f>SUM(#REF!)</f>
        <v>#REF!</v>
      </c>
      <c r="U80" s="256" t="e">
        <f>SUM(#REF!)</f>
        <v>#REF!</v>
      </c>
      <c r="V80" s="256" t="e">
        <f>SUM(#REF!)</f>
        <v>#REF!</v>
      </c>
      <c r="W80" s="256" t="e">
        <f>SUM(#REF!)</f>
        <v>#REF!</v>
      </c>
      <c r="X80" s="256"/>
      <c r="Y80" s="256" t="e">
        <f>SUM(#REF!)</f>
        <v>#REF!</v>
      </c>
      <c r="Z80" s="256" t="e">
        <f>SUM(#REF!)</f>
        <v>#REF!</v>
      </c>
      <c r="AA80" s="256" t="e">
        <f>SUM(#REF!)</f>
        <v>#REF!</v>
      </c>
      <c r="AB80" s="256"/>
      <c r="AC80" s="256"/>
      <c r="AD80" s="256"/>
      <c r="AE80" s="256"/>
      <c r="AF80" s="256"/>
      <c r="AG80" s="248"/>
      <c r="AH80" s="249"/>
      <c r="AI80" s="248"/>
      <c r="AJ80" s="248"/>
      <c r="AK80" s="248"/>
      <c r="AL80" s="248"/>
      <c r="AM80" s="248"/>
    </row>
    <row r="81" spans="3:39" s="2" customFormat="1" ht="25" hidden="1" customHeight="1">
      <c r="C81" s="328"/>
      <c r="D81" s="343"/>
      <c r="E81" s="246" t="s">
        <v>76</v>
      </c>
      <c r="F81" s="247"/>
      <c r="G81" s="247"/>
      <c r="H81" s="125">
        <f t="shared" si="28"/>
        <v>0</v>
      </c>
      <c r="I81" s="256" t="e">
        <f>+#REF!</f>
        <v>#REF!</v>
      </c>
      <c r="J81" s="256"/>
      <c r="K81" s="256" t="e">
        <f>+#REF!</f>
        <v>#REF!</v>
      </c>
      <c r="L81" s="256" t="e">
        <f>+#REF!</f>
        <v>#REF!</v>
      </c>
      <c r="M81" s="256" t="e">
        <f>+#REF!</f>
        <v>#REF!</v>
      </c>
      <c r="N81" s="256" t="e">
        <f>+#REF!</f>
        <v>#REF!</v>
      </c>
      <c r="O81" s="256" t="e">
        <f>+#REF!</f>
        <v>#REF!</v>
      </c>
      <c r="P81" s="256" t="e">
        <f>+#REF!</f>
        <v>#REF!</v>
      </c>
      <c r="Q81" s="256"/>
      <c r="R81" s="256" t="e">
        <f>+#REF!</f>
        <v>#REF!</v>
      </c>
      <c r="S81" s="256" t="e">
        <f>+#REF!</f>
        <v>#REF!</v>
      </c>
      <c r="T81" s="256" t="e">
        <f>+#REF!</f>
        <v>#REF!</v>
      </c>
      <c r="U81" s="256" t="e">
        <f>+#REF!</f>
        <v>#REF!</v>
      </c>
      <c r="V81" s="256" t="e">
        <f>+#REF!</f>
        <v>#REF!</v>
      </c>
      <c r="W81" s="256" t="e">
        <f>+#REF!</f>
        <v>#REF!</v>
      </c>
      <c r="X81" s="256"/>
      <c r="Y81" s="256" t="e">
        <f>+#REF!</f>
        <v>#REF!</v>
      </c>
      <c r="Z81" s="256" t="e">
        <f>+#REF!</f>
        <v>#REF!</v>
      </c>
      <c r="AA81" s="256" t="e">
        <f>+#REF!</f>
        <v>#REF!</v>
      </c>
      <c r="AB81" s="256"/>
      <c r="AC81" s="256"/>
      <c r="AD81" s="256"/>
      <c r="AE81" s="256"/>
      <c r="AF81" s="256"/>
      <c r="AG81" s="248"/>
      <c r="AH81" s="249"/>
      <c r="AI81" s="248"/>
      <c r="AJ81" s="248"/>
      <c r="AK81" s="248"/>
      <c r="AL81" s="248"/>
      <c r="AM81" s="248"/>
    </row>
    <row r="82" spans="3:39" s="2" customFormat="1" ht="25" hidden="1" customHeight="1">
      <c r="C82" s="328"/>
      <c r="D82" s="343"/>
      <c r="E82" s="246" t="s">
        <v>75</v>
      </c>
      <c r="F82" s="247"/>
      <c r="G82" s="247"/>
      <c r="H82" s="125">
        <f t="shared" si="28"/>
        <v>0</v>
      </c>
      <c r="I82" s="256" t="e">
        <f>+#REF!</f>
        <v>#REF!</v>
      </c>
      <c r="J82" s="256"/>
      <c r="K82" s="256" t="e">
        <f>+#REF!</f>
        <v>#REF!</v>
      </c>
      <c r="L82" s="256" t="e">
        <f>+#REF!</f>
        <v>#REF!</v>
      </c>
      <c r="M82" s="256" t="e">
        <f>+#REF!</f>
        <v>#REF!</v>
      </c>
      <c r="N82" s="256" t="e">
        <f>+#REF!</f>
        <v>#REF!</v>
      </c>
      <c r="O82" s="256" t="e">
        <f>+#REF!</f>
        <v>#REF!</v>
      </c>
      <c r="P82" s="256" t="e">
        <f>+#REF!</f>
        <v>#REF!</v>
      </c>
      <c r="Q82" s="256"/>
      <c r="R82" s="256" t="e">
        <f>+#REF!</f>
        <v>#REF!</v>
      </c>
      <c r="S82" s="256" t="e">
        <f>+#REF!</f>
        <v>#REF!</v>
      </c>
      <c r="T82" s="256" t="e">
        <f>+#REF!</f>
        <v>#REF!</v>
      </c>
      <c r="U82" s="256" t="e">
        <f>+#REF!</f>
        <v>#REF!</v>
      </c>
      <c r="V82" s="256" t="e">
        <f>+#REF!</f>
        <v>#REF!</v>
      </c>
      <c r="W82" s="256" t="e">
        <f>+#REF!</f>
        <v>#REF!</v>
      </c>
      <c r="X82" s="256"/>
      <c r="Y82" s="256" t="e">
        <f>+#REF!</f>
        <v>#REF!</v>
      </c>
      <c r="Z82" s="256" t="e">
        <f>+#REF!</f>
        <v>#REF!</v>
      </c>
      <c r="AA82" s="256" t="e">
        <f>+#REF!</f>
        <v>#REF!</v>
      </c>
      <c r="AB82" s="256"/>
      <c r="AC82" s="256"/>
      <c r="AD82" s="256"/>
      <c r="AE82" s="256"/>
      <c r="AF82" s="256"/>
      <c r="AG82" s="248"/>
      <c r="AH82" s="249"/>
      <c r="AI82" s="248"/>
      <c r="AJ82" s="248"/>
      <c r="AK82" s="248"/>
      <c r="AL82" s="248"/>
      <c r="AM82" s="248"/>
    </row>
    <row r="83" spans="3:39" s="2" customFormat="1" ht="25" hidden="1" customHeight="1">
      <c r="C83" s="328"/>
      <c r="D83" s="343"/>
      <c r="E83" s="246" t="s">
        <v>73</v>
      </c>
      <c r="F83" s="247"/>
      <c r="G83" s="247"/>
      <c r="H83" s="125">
        <f t="shared" si="28"/>
        <v>0</v>
      </c>
      <c r="I83" s="256" t="e">
        <f>+#REF!+#REF!</f>
        <v>#REF!</v>
      </c>
      <c r="J83" s="256"/>
      <c r="K83" s="256" t="e">
        <f>+#REF!+#REF!</f>
        <v>#REF!</v>
      </c>
      <c r="L83" s="256" t="e">
        <f>+#REF!+#REF!</f>
        <v>#REF!</v>
      </c>
      <c r="M83" s="256" t="e">
        <f>+#REF!+#REF!</f>
        <v>#REF!</v>
      </c>
      <c r="N83" s="256" t="e">
        <f>+#REF!+#REF!</f>
        <v>#REF!</v>
      </c>
      <c r="O83" s="256" t="e">
        <f>+#REF!+#REF!</f>
        <v>#REF!</v>
      </c>
      <c r="P83" s="256" t="e">
        <f>+#REF!+#REF!</f>
        <v>#REF!</v>
      </c>
      <c r="Q83" s="256"/>
      <c r="R83" s="256" t="e">
        <f>+#REF!+#REF!</f>
        <v>#REF!</v>
      </c>
      <c r="S83" s="256" t="e">
        <f>+#REF!+#REF!</f>
        <v>#REF!</v>
      </c>
      <c r="T83" s="256" t="e">
        <f>+#REF!+#REF!</f>
        <v>#REF!</v>
      </c>
      <c r="U83" s="256" t="e">
        <f>+#REF!+#REF!</f>
        <v>#REF!</v>
      </c>
      <c r="V83" s="256" t="e">
        <f>+#REF!+#REF!</f>
        <v>#REF!</v>
      </c>
      <c r="W83" s="256" t="e">
        <f>+#REF!+#REF!</f>
        <v>#REF!</v>
      </c>
      <c r="X83" s="256"/>
      <c r="Y83" s="256" t="e">
        <f>+#REF!+#REF!</f>
        <v>#REF!</v>
      </c>
      <c r="Z83" s="256" t="e">
        <f>+#REF!+#REF!</f>
        <v>#REF!</v>
      </c>
      <c r="AA83" s="256" t="e">
        <f>+#REF!+#REF!</f>
        <v>#REF!</v>
      </c>
      <c r="AB83" s="256"/>
      <c r="AC83" s="256"/>
      <c r="AD83" s="256"/>
      <c r="AE83" s="256"/>
      <c r="AF83" s="256"/>
      <c r="AG83" s="248"/>
      <c r="AH83" s="249"/>
      <c r="AI83" s="248"/>
      <c r="AJ83" s="248"/>
      <c r="AK83" s="248"/>
      <c r="AL83" s="248"/>
      <c r="AM83" s="248"/>
    </row>
    <row r="84" spans="3:39" s="2" customFormat="1" ht="25" hidden="1" customHeight="1">
      <c r="C84" s="328"/>
      <c r="D84" s="343"/>
      <c r="E84" s="252" t="s">
        <v>81</v>
      </c>
      <c r="F84" s="125"/>
      <c r="G84" s="247"/>
      <c r="H84" s="125">
        <f t="shared" si="28"/>
        <v>0</v>
      </c>
      <c r="I84" s="256" t="e">
        <f>SUM(#REF!)</f>
        <v>#REF!</v>
      </c>
      <c r="J84" s="256"/>
      <c r="K84" s="256" t="e">
        <f>SUM(#REF!)</f>
        <v>#REF!</v>
      </c>
      <c r="L84" s="256" t="e">
        <f>SUM(#REF!)</f>
        <v>#REF!</v>
      </c>
      <c r="M84" s="256" t="e">
        <f>SUM(#REF!)</f>
        <v>#REF!</v>
      </c>
      <c r="N84" s="256" t="e">
        <f>SUM(#REF!)</f>
        <v>#REF!</v>
      </c>
      <c r="O84" s="256" t="e">
        <f>SUM(#REF!)</f>
        <v>#REF!</v>
      </c>
      <c r="P84" s="256" t="e">
        <f>SUM(#REF!)</f>
        <v>#REF!</v>
      </c>
      <c r="Q84" s="256"/>
      <c r="R84" s="256" t="e">
        <f>SUM(#REF!)</f>
        <v>#REF!</v>
      </c>
      <c r="S84" s="256" t="e">
        <f>SUM(#REF!)</f>
        <v>#REF!</v>
      </c>
      <c r="T84" s="256" t="e">
        <f>SUM(#REF!)</f>
        <v>#REF!</v>
      </c>
      <c r="U84" s="256" t="e">
        <f>SUM(#REF!)</f>
        <v>#REF!</v>
      </c>
      <c r="V84" s="256" t="e">
        <f>SUM(#REF!)</f>
        <v>#REF!</v>
      </c>
      <c r="W84" s="256" t="e">
        <f>SUM(#REF!)</f>
        <v>#REF!</v>
      </c>
      <c r="X84" s="256"/>
      <c r="Y84" s="256" t="e">
        <f>SUM(#REF!)</f>
        <v>#REF!</v>
      </c>
      <c r="Z84" s="256" t="e">
        <f>SUM(#REF!)</f>
        <v>#REF!</v>
      </c>
      <c r="AA84" s="256" t="e">
        <f>SUM(#REF!)</f>
        <v>#REF!</v>
      </c>
      <c r="AB84" s="256"/>
      <c r="AC84" s="256"/>
      <c r="AD84" s="256"/>
      <c r="AE84" s="256"/>
      <c r="AF84" s="256"/>
      <c r="AG84" s="60"/>
      <c r="AH84" s="113"/>
      <c r="AI84" s="60"/>
      <c r="AJ84" s="60"/>
      <c r="AK84" s="60"/>
      <c r="AL84" s="60"/>
      <c r="AM84" s="60"/>
    </row>
    <row r="85" spans="3:39" s="2" customFormat="1" ht="25" hidden="1" customHeight="1">
      <c r="C85" s="328"/>
      <c r="D85" s="343"/>
      <c r="E85" s="246" t="s">
        <v>74</v>
      </c>
      <c r="F85" s="247"/>
      <c r="G85" s="247"/>
      <c r="H85" s="125">
        <f t="shared" si="28"/>
        <v>0</v>
      </c>
      <c r="I85" s="256" t="e">
        <f>SUM(#REF!)</f>
        <v>#REF!</v>
      </c>
      <c r="J85" s="256"/>
      <c r="K85" s="256" t="e">
        <f>SUM(#REF!)</f>
        <v>#REF!</v>
      </c>
      <c r="L85" s="256" t="e">
        <f>SUM(#REF!)</f>
        <v>#REF!</v>
      </c>
      <c r="M85" s="256" t="e">
        <f>SUM(#REF!)</f>
        <v>#REF!</v>
      </c>
      <c r="N85" s="256" t="e">
        <f>SUM(#REF!)</f>
        <v>#REF!</v>
      </c>
      <c r="O85" s="256" t="e">
        <f>SUM(#REF!)</f>
        <v>#REF!</v>
      </c>
      <c r="P85" s="256" t="e">
        <f>SUM(#REF!)</f>
        <v>#REF!</v>
      </c>
      <c r="Q85" s="256"/>
      <c r="R85" s="256" t="e">
        <f>SUM(#REF!)</f>
        <v>#REF!</v>
      </c>
      <c r="S85" s="256" t="e">
        <f>SUM(#REF!)</f>
        <v>#REF!</v>
      </c>
      <c r="T85" s="256" t="e">
        <f>SUM(#REF!)</f>
        <v>#REF!</v>
      </c>
      <c r="U85" s="256" t="e">
        <f>SUM(#REF!)</f>
        <v>#REF!</v>
      </c>
      <c r="V85" s="256" t="e">
        <f>SUM(#REF!)</f>
        <v>#REF!</v>
      </c>
      <c r="W85" s="256" t="e">
        <f>SUM(#REF!)</f>
        <v>#REF!</v>
      </c>
      <c r="X85" s="256"/>
      <c r="Y85" s="256" t="e">
        <f>SUM(#REF!)</f>
        <v>#REF!</v>
      </c>
      <c r="Z85" s="256" t="e">
        <f>SUM(#REF!)</f>
        <v>#REF!</v>
      </c>
      <c r="AA85" s="256" t="e">
        <f>SUM(#REF!)</f>
        <v>#REF!</v>
      </c>
      <c r="AB85" s="256"/>
      <c r="AC85" s="256"/>
      <c r="AD85" s="256"/>
      <c r="AE85" s="256"/>
      <c r="AF85" s="256"/>
      <c r="AG85" s="248"/>
      <c r="AH85" s="249"/>
      <c r="AI85" s="248"/>
      <c r="AJ85" s="248"/>
      <c r="AK85" s="248"/>
      <c r="AL85" s="248"/>
      <c r="AM85" s="248"/>
    </row>
    <row r="86" spans="3:39" s="2" customFormat="1" ht="25" hidden="1" customHeight="1">
      <c r="C86" s="328"/>
      <c r="D86" s="343"/>
      <c r="E86" s="246" t="s">
        <v>72</v>
      </c>
      <c r="F86" s="247"/>
      <c r="G86" s="247"/>
      <c r="H86" s="125">
        <f t="shared" si="28"/>
        <v>0</v>
      </c>
      <c r="I86" s="256" t="e">
        <f>SUM(#REF!)</f>
        <v>#REF!</v>
      </c>
      <c r="J86" s="256"/>
      <c r="K86" s="256" t="e">
        <f>SUM(#REF!)</f>
        <v>#REF!</v>
      </c>
      <c r="L86" s="256" t="e">
        <f>SUM(#REF!)</f>
        <v>#REF!</v>
      </c>
      <c r="M86" s="256" t="e">
        <f>SUM(#REF!)</f>
        <v>#REF!</v>
      </c>
      <c r="N86" s="256" t="e">
        <f>SUM(#REF!)</f>
        <v>#REF!</v>
      </c>
      <c r="O86" s="256" t="e">
        <f>SUM(#REF!)</f>
        <v>#REF!</v>
      </c>
      <c r="P86" s="256" t="e">
        <f>SUM(#REF!)</f>
        <v>#REF!</v>
      </c>
      <c r="Q86" s="256"/>
      <c r="R86" s="256" t="e">
        <f>SUM(#REF!)</f>
        <v>#REF!</v>
      </c>
      <c r="S86" s="256" t="e">
        <f>SUM(#REF!)</f>
        <v>#REF!</v>
      </c>
      <c r="T86" s="256" t="e">
        <f>SUM(#REF!)</f>
        <v>#REF!</v>
      </c>
      <c r="U86" s="256" t="e">
        <f>SUM(#REF!)</f>
        <v>#REF!</v>
      </c>
      <c r="V86" s="256" t="e">
        <f>SUM(#REF!)</f>
        <v>#REF!</v>
      </c>
      <c r="W86" s="256" t="e">
        <f>SUM(#REF!)</f>
        <v>#REF!</v>
      </c>
      <c r="X86" s="256"/>
      <c r="Y86" s="256" t="e">
        <f>SUM(#REF!)</f>
        <v>#REF!</v>
      </c>
      <c r="Z86" s="256" t="e">
        <f>SUM(#REF!)</f>
        <v>#REF!</v>
      </c>
      <c r="AA86" s="256" t="e">
        <f>SUM(#REF!)</f>
        <v>#REF!</v>
      </c>
      <c r="AB86" s="256"/>
      <c r="AC86" s="256"/>
      <c r="AD86" s="256"/>
      <c r="AE86" s="256"/>
      <c r="AF86" s="256"/>
      <c r="AG86" s="248"/>
      <c r="AH86" s="249"/>
      <c r="AI86" s="248"/>
      <c r="AJ86" s="248"/>
      <c r="AK86" s="248"/>
      <c r="AL86" s="248"/>
      <c r="AM86" s="248"/>
    </row>
    <row r="87" spans="3:39" s="2" customFormat="1" ht="25" hidden="1" customHeight="1">
      <c r="C87" s="328"/>
      <c r="D87" s="343"/>
      <c r="E87" s="246" t="s">
        <v>76</v>
      </c>
      <c r="F87" s="247"/>
      <c r="G87" s="247"/>
      <c r="H87" s="125">
        <f t="shared" si="28"/>
        <v>0</v>
      </c>
      <c r="I87" s="256" t="e">
        <f>+#REF!</f>
        <v>#REF!</v>
      </c>
      <c r="J87" s="256"/>
      <c r="K87" s="256" t="e">
        <f>+#REF!</f>
        <v>#REF!</v>
      </c>
      <c r="L87" s="256" t="e">
        <f>+#REF!</f>
        <v>#REF!</v>
      </c>
      <c r="M87" s="256" t="e">
        <f>+#REF!</f>
        <v>#REF!</v>
      </c>
      <c r="N87" s="256" t="e">
        <f>+#REF!</f>
        <v>#REF!</v>
      </c>
      <c r="O87" s="256" t="e">
        <f>+#REF!</f>
        <v>#REF!</v>
      </c>
      <c r="P87" s="256" t="e">
        <f>+#REF!</f>
        <v>#REF!</v>
      </c>
      <c r="Q87" s="256"/>
      <c r="R87" s="256" t="e">
        <f>+#REF!</f>
        <v>#REF!</v>
      </c>
      <c r="S87" s="256" t="e">
        <f>+#REF!</f>
        <v>#REF!</v>
      </c>
      <c r="T87" s="256" t="e">
        <f>+#REF!</f>
        <v>#REF!</v>
      </c>
      <c r="U87" s="256" t="e">
        <f>+#REF!</f>
        <v>#REF!</v>
      </c>
      <c r="V87" s="256" t="e">
        <f>+#REF!</f>
        <v>#REF!</v>
      </c>
      <c r="W87" s="256" t="e">
        <f>+#REF!</f>
        <v>#REF!</v>
      </c>
      <c r="X87" s="256"/>
      <c r="Y87" s="256" t="e">
        <f>+#REF!</f>
        <v>#REF!</v>
      </c>
      <c r="Z87" s="256" t="e">
        <f>+#REF!</f>
        <v>#REF!</v>
      </c>
      <c r="AA87" s="256" t="e">
        <f>+#REF!</f>
        <v>#REF!</v>
      </c>
      <c r="AB87" s="256"/>
      <c r="AC87" s="256"/>
      <c r="AD87" s="256"/>
      <c r="AE87" s="256"/>
      <c r="AF87" s="256"/>
      <c r="AG87" s="248"/>
      <c r="AH87" s="249"/>
      <c r="AI87" s="248"/>
      <c r="AJ87" s="248"/>
      <c r="AK87" s="248"/>
      <c r="AL87" s="248"/>
      <c r="AM87" s="248"/>
    </row>
    <row r="88" spans="3:39" s="2" customFormat="1" ht="25" hidden="1" customHeight="1">
      <c r="C88" s="328"/>
      <c r="D88" s="343"/>
      <c r="E88" s="246" t="s">
        <v>75</v>
      </c>
      <c r="F88" s="247"/>
      <c r="G88" s="247"/>
      <c r="H88" s="125">
        <f t="shared" si="28"/>
        <v>0</v>
      </c>
      <c r="I88" s="256" t="e">
        <f>+#REF!</f>
        <v>#REF!</v>
      </c>
      <c r="J88" s="256"/>
      <c r="K88" s="256" t="e">
        <f>+#REF!</f>
        <v>#REF!</v>
      </c>
      <c r="L88" s="256" t="e">
        <f>+#REF!</f>
        <v>#REF!</v>
      </c>
      <c r="M88" s="256" t="e">
        <f>+#REF!</f>
        <v>#REF!</v>
      </c>
      <c r="N88" s="256" t="e">
        <f>+#REF!</f>
        <v>#REF!</v>
      </c>
      <c r="O88" s="256" t="e">
        <f>+#REF!</f>
        <v>#REF!</v>
      </c>
      <c r="P88" s="256" t="e">
        <f>+#REF!</f>
        <v>#REF!</v>
      </c>
      <c r="Q88" s="256"/>
      <c r="R88" s="256" t="e">
        <f>+#REF!</f>
        <v>#REF!</v>
      </c>
      <c r="S88" s="256" t="e">
        <f>+#REF!</f>
        <v>#REF!</v>
      </c>
      <c r="T88" s="256" t="e">
        <f>+#REF!</f>
        <v>#REF!</v>
      </c>
      <c r="U88" s="256" t="e">
        <f>+#REF!</f>
        <v>#REF!</v>
      </c>
      <c r="V88" s="256" t="e">
        <f>+#REF!</f>
        <v>#REF!</v>
      </c>
      <c r="W88" s="256" t="e">
        <f>+#REF!</f>
        <v>#REF!</v>
      </c>
      <c r="X88" s="256"/>
      <c r="Y88" s="256" t="e">
        <f>+#REF!</f>
        <v>#REF!</v>
      </c>
      <c r="Z88" s="256" t="e">
        <f>+#REF!</f>
        <v>#REF!</v>
      </c>
      <c r="AA88" s="256" t="e">
        <f>+#REF!</f>
        <v>#REF!</v>
      </c>
      <c r="AB88" s="256"/>
      <c r="AC88" s="256"/>
      <c r="AD88" s="256"/>
      <c r="AE88" s="256"/>
      <c r="AF88" s="256"/>
      <c r="AG88" s="248"/>
      <c r="AH88" s="249"/>
      <c r="AI88" s="248"/>
      <c r="AJ88" s="248"/>
      <c r="AK88" s="248"/>
      <c r="AL88" s="248"/>
      <c r="AM88" s="248"/>
    </row>
    <row r="89" spans="3:39" s="2" customFormat="1" ht="25" hidden="1" customHeight="1">
      <c r="C89" s="328"/>
      <c r="D89" s="343"/>
      <c r="E89" s="246" t="s">
        <v>73</v>
      </c>
      <c r="F89" s="247"/>
      <c r="G89" s="247"/>
      <c r="H89" s="125">
        <f t="shared" si="28"/>
        <v>0</v>
      </c>
      <c r="I89" s="256" t="e">
        <f>+#REF!+#REF!</f>
        <v>#REF!</v>
      </c>
      <c r="J89" s="256"/>
      <c r="K89" s="256" t="e">
        <f>+#REF!+#REF!</f>
        <v>#REF!</v>
      </c>
      <c r="L89" s="256" t="e">
        <f>+#REF!+#REF!</f>
        <v>#REF!</v>
      </c>
      <c r="M89" s="256" t="e">
        <f>+#REF!+#REF!</f>
        <v>#REF!</v>
      </c>
      <c r="N89" s="256" t="e">
        <f>+#REF!+#REF!</f>
        <v>#REF!</v>
      </c>
      <c r="O89" s="256" t="e">
        <f>+#REF!+#REF!</f>
        <v>#REF!</v>
      </c>
      <c r="P89" s="256" t="e">
        <f>+#REF!+#REF!</f>
        <v>#REF!</v>
      </c>
      <c r="Q89" s="256"/>
      <c r="R89" s="256" t="e">
        <f>+#REF!+#REF!</f>
        <v>#REF!</v>
      </c>
      <c r="S89" s="256" t="e">
        <f>+#REF!+#REF!</f>
        <v>#REF!</v>
      </c>
      <c r="T89" s="256" t="e">
        <f>+#REF!+#REF!</f>
        <v>#REF!</v>
      </c>
      <c r="U89" s="256" t="e">
        <f>+#REF!+#REF!</f>
        <v>#REF!</v>
      </c>
      <c r="V89" s="256" t="e">
        <f>+#REF!+#REF!</f>
        <v>#REF!</v>
      </c>
      <c r="W89" s="256" t="e">
        <f>+#REF!+#REF!</f>
        <v>#REF!</v>
      </c>
      <c r="X89" s="256"/>
      <c r="Y89" s="256" t="e">
        <f>+#REF!+#REF!</f>
        <v>#REF!</v>
      </c>
      <c r="Z89" s="256" t="e">
        <f>+#REF!+#REF!</f>
        <v>#REF!</v>
      </c>
      <c r="AA89" s="256" t="e">
        <f>+#REF!+#REF!</f>
        <v>#REF!</v>
      </c>
      <c r="AB89" s="256"/>
      <c r="AC89" s="256"/>
      <c r="AD89" s="256"/>
      <c r="AE89" s="256"/>
      <c r="AF89" s="256"/>
      <c r="AG89" s="248"/>
      <c r="AH89" s="249"/>
      <c r="AI89" s="248"/>
      <c r="AJ89" s="248"/>
      <c r="AK89" s="248"/>
      <c r="AL89" s="248"/>
      <c r="AM89" s="248"/>
    </row>
    <row r="90" spans="3:39" s="2" customFormat="1" ht="25" hidden="1" customHeight="1">
      <c r="C90" s="328"/>
      <c r="D90" s="343"/>
      <c r="E90" s="252" t="s">
        <v>82</v>
      </c>
      <c r="F90" s="125"/>
      <c r="G90" s="247"/>
      <c r="H90" s="125">
        <f t="shared" si="28"/>
        <v>0</v>
      </c>
      <c r="I90" s="256" t="e">
        <f>SUM(#REF!)</f>
        <v>#REF!</v>
      </c>
      <c r="J90" s="256"/>
      <c r="K90" s="256" t="e">
        <f>SUM(#REF!)</f>
        <v>#REF!</v>
      </c>
      <c r="L90" s="256" t="e">
        <f>SUM(#REF!)</f>
        <v>#REF!</v>
      </c>
      <c r="M90" s="256" t="e">
        <f>SUM(#REF!)</f>
        <v>#REF!</v>
      </c>
      <c r="N90" s="256" t="e">
        <f>SUM(#REF!)</f>
        <v>#REF!</v>
      </c>
      <c r="O90" s="256" t="e">
        <f>SUM(#REF!)</f>
        <v>#REF!</v>
      </c>
      <c r="P90" s="256" t="e">
        <f>SUM(#REF!)</f>
        <v>#REF!</v>
      </c>
      <c r="Q90" s="256"/>
      <c r="R90" s="256" t="e">
        <f>SUM(#REF!)</f>
        <v>#REF!</v>
      </c>
      <c r="S90" s="256" t="e">
        <f>SUM(#REF!)</f>
        <v>#REF!</v>
      </c>
      <c r="T90" s="256" t="e">
        <f>SUM(#REF!)</f>
        <v>#REF!</v>
      </c>
      <c r="U90" s="256" t="e">
        <f>SUM(#REF!)</f>
        <v>#REF!</v>
      </c>
      <c r="V90" s="256" t="e">
        <f>SUM(#REF!)</f>
        <v>#REF!</v>
      </c>
      <c r="W90" s="256" t="e">
        <f>SUM(#REF!)</f>
        <v>#REF!</v>
      </c>
      <c r="X90" s="256"/>
      <c r="Y90" s="256" t="e">
        <f>SUM(#REF!)</f>
        <v>#REF!</v>
      </c>
      <c r="Z90" s="256" t="e">
        <f>SUM(#REF!)</f>
        <v>#REF!</v>
      </c>
      <c r="AA90" s="256" t="e">
        <f>SUM(#REF!)</f>
        <v>#REF!</v>
      </c>
      <c r="AB90" s="256"/>
      <c r="AC90" s="256"/>
      <c r="AD90" s="256"/>
      <c r="AE90" s="256"/>
      <c r="AF90" s="256"/>
      <c r="AG90" s="250"/>
      <c r="AH90" s="251"/>
      <c r="AI90" s="250"/>
      <c r="AJ90" s="250"/>
      <c r="AK90" s="250"/>
      <c r="AL90" s="250"/>
      <c r="AM90" s="250"/>
    </row>
    <row r="91" spans="3:39" s="2" customFormat="1" ht="25" hidden="1" customHeight="1">
      <c r="C91" s="328"/>
      <c r="D91" s="343"/>
      <c r="E91" s="246" t="s">
        <v>74</v>
      </c>
      <c r="F91" s="247"/>
      <c r="G91" s="247"/>
      <c r="H91" s="125">
        <f t="shared" si="28"/>
        <v>0</v>
      </c>
      <c r="I91" s="256" t="e">
        <f>SUM(#REF!)</f>
        <v>#REF!</v>
      </c>
      <c r="J91" s="256"/>
      <c r="K91" s="256" t="e">
        <f>SUM(#REF!)</f>
        <v>#REF!</v>
      </c>
      <c r="L91" s="256" t="e">
        <f>SUM(#REF!)</f>
        <v>#REF!</v>
      </c>
      <c r="M91" s="256" t="e">
        <f>SUM(#REF!)</f>
        <v>#REF!</v>
      </c>
      <c r="N91" s="256" t="e">
        <f>SUM(#REF!)</f>
        <v>#REF!</v>
      </c>
      <c r="O91" s="256" t="e">
        <f>SUM(#REF!)</f>
        <v>#REF!</v>
      </c>
      <c r="P91" s="256" t="e">
        <f>SUM(#REF!)</f>
        <v>#REF!</v>
      </c>
      <c r="Q91" s="256"/>
      <c r="R91" s="256" t="e">
        <f>SUM(#REF!)</f>
        <v>#REF!</v>
      </c>
      <c r="S91" s="256" t="e">
        <f>SUM(#REF!)</f>
        <v>#REF!</v>
      </c>
      <c r="T91" s="256" t="e">
        <f>SUM(#REF!)</f>
        <v>#REF!</v>
      </c>
      <c r="U91" s="256" t="e">
        <f>SUM(#REF!)</f>
        <v>#REF!</v>
      </c>
      <c r="V91" s="256" t="e">
        <f>SUM(#REF!)</f>
        <v>#REF!</v>
      </c>
      <c r="W91" s="256" t="e">
        <f>SUM(#REF!)</f>
        <v>#REF!</v>
      </c>
      <c r="X91" s="256"/>
      <c r="Y91" s="256" t="e">
        <f>SUM(#REF!)</f>
        <v>#REF!</v>
      </c>
      <c r="Z91" s="256" t="e">
        <f>SUM(#REF!)</f>
        <v>#REF!</v>
      </c>
      <c r="AA91" s="256" t="e">
        <f>SUM(#REF!)</f>
        <v>#REF!</v>
      </c>
      <c r="AB91" s="256"/>
      <c r="AC91" s="256"/>
      <c r="AD91" s="256"/>
      <c r="AE91" s="256"/>
      <c r="AF91" s="256"/>
      <c r="AG91" s="248"/>
      <c r="AH91" s="249"/>
      <c r="AI91" s="248"/>
      <c r="AJ91" s="248"/>
      <c r="AK91" s="248"/>
      <c r="AL91" s="248"/>
      <c r="AM91" s="248"/>
    </row>
    <row r="92" spans="3:39" s="2" customFormat="1" ht="25" hidden="1" customHeight="1">
      <c r="C92" s="328"/>
      <c r="D92" s="343"/>
      <c r="E92" s="246" t="s">
        <v>72</v>
      </c>
      <c r="F92" s="247"/>
      <c r="G92" s="247"/>
      <c r="H92" s="125">
        <f t="shared" si="28"/>
        <v>0</v>
      </c>
      <c r="I92" s="256" t="e">
        <f>SUM(#REF!)</f>
        <v>#REF!</v>
      </c>
      <c r="J92" s="256"/>
      <c r="K92" s="256" t="e">
        <f>SUM(#REF!)</f>
        <v>#REF!</v>
      </c>
      <c r="L92" s="256" t="e">
        <f>SUM(#REF!)</f>
        <v>#REF!</v>
      </c>
      <c r="M92" s="256" t="e">
        <f>SUM(#REF!)</f>
        <v>#REF!</v>
      </c>
      <c r="N92" s="256" t="e">
        <f>SUM(#REF!)</f>
        <v>#REF!</v>
      </c>
      <c r="O92" s="256" t="e">
        <f>SUM(#REF!)</f>
        <v>#REF!</v>
      </c>
      <c r="P92" s="256" t="e">
        <f>SUM(#REF!)</f>
        <v>#REF!</v>
      </c>
      <c r="Q92" s="256"/>
      <c r="R92" s="256" t="e">
        <f>SUM(#REF!)</f>
        <v>#REF!</v>
      </c>
      <c r="S92" s="256" t="e">
        <f>SUM(#REF!)</f>
        <v>#REF!</v>
      </c>
      <c r="T92" s="256" t="e">
        <f>SUM(#REF!)</f>
        <v>#REF!</v>
      </c>
      <c r="U92" s="256" t="e">
        <f>SUM(#REF!)</f>
        <v>#REF!</v>
      </c>
      <c r="V92" s="256" t="e">
        <f>SUM(#REF!)</f>
        <v>#REF!</v>
      </c>
      <c r="W92" s="256" t="e">
        <f>SUM(#REF!)</f>
        <v>#REF!</v>
      </c>
      <c r="X92" s="256"/>
      <c r="Y92" s="256" t="e">
        <f>SUM(#REF!)</f>
        <v>#REF!</v>
      </c>
      <c r="Z92" s="256" t="e">
        <f>SUM(#REF!)</f>
        <v>#REF!</v>
      </c>
      <c r="AA92" s="256" t="e">
        <f>SUM(#REF!)</f>
        <v>#REF!</v>
      </c>
      <c r="AB92" s="256"/>
      <c r="AC92" s="256"/>
      <c r="AD92" s="256"/>
      <c r="AE92" s="256"/>
      <c r="AF92" s="256"/>
      <c r="AG92" s="248"/>
      <c r="AH92" s="249"/>
      <c r="AI92" s="248"/>
      <c r="AJ92" s="248"/>
      <c r="AK92" s="248"/>
      <c r="AL92" s="248"/>
      <c r="AM92" s="248"/>
    </row>
    <row r="93" spans="3:39" s="2" customFormat="1" ht="25" hidden="1" customHeight="1">
      <c r="C93" s="328"/>
      <c r="D93" s="343"/>
      <c r="E93" s="246" t="s">
        <v>76</v>
      </c>
      <c r="F93" s="247"/>
      <c r="G93" s="247"/>
      <c r="H93" s="125">
        <f t="shared" si="28"/>
        <v>0</v>
      </c>
      <c r="I93" s="256" t="e">
        <f>+#REF!</f>
        <v>#REF!</v>
      </c>
      <c r="J93" s="256"/>
      <c r="K93" s="256" t="e">
        <f>+#REF!</f>
        <v>#REF!</v>
      </c>
      <c r="L93" s="256" t="e">
        <f>+#REF!</f>
        <v>#REF!</v>
      </c>
      <c r="M93" s="256" t="e">
        <f>+#REF!</f>
        <v>#REF!</v>
      </c>
      <c r="N93" s="256" t="e">
        <f>+#REF!</f>
        <v>#REF!</v>
      </c>
      <c r="O93" s="256" t="e">
        <f>+#REF!</f>
        <v>#REF!</v>
      </c>
      <c r="P93" s="256" t="e">
        <f>+#REF!</f>
        <v>#REF!</v>
      </c>
      <c r="Q93" s="256"/>
      <c r="R93" s="256" t="e">
        <f>+#REF!</f>
        <v>#REF!</v>
      </c>
      <c r="S93" s="256" t="e">
        <f>+#REF!</f>
        <v>#REF!</v>
      </c>
      <c r="T93" s="256" t="e">
        <f>+#REF!</f>
        <v>#REF!</v>
      </c>
      <c r="U93" s="256" t="e">
        <f>+#REF!</f>
        <v>#REF!</v>
      </c>
      <c r="V93" s="256" t="e">
        <f>+#REF!</f>
        <v>#REF!</v>
      </c>
      <c r="W93" s="256" t="e">
        <f>+#REF!</f>
        <v>#REF!</v>
      </c>
      <c r="X93" s="256"/>
      <c r="Y93" s="256" t="e">
        <f>+#REF!</f>
        <v>#REF!</v>
      </c>
      <c r="Z93" s="256" t="e">
        <f>+#REF!</f>
        <v>#REF!</v>
      </c>
      <c r="AA93" s="256" t="e">
        <f>+#REF!</f>
        <v>#REF!</v>
      </c>
      <c r="AB93" s="256"/>
      <c r="AC93" s="256"/>
      <c r="AD93" s="256"/>
      <c r="AE93" s="256"/>
      <c r="AF93" s="256"/>
      <c r="AG93" s="248"/>
      <c r="AH93" s="249"/>
      <c r="AI93" s="248"/>
      <c r="AJ93" s="248"/>
      <c r="AK93" s="248"/>
      <c r="AL93" s="248"/>
      <c r="AM93" s="248"/>
    </row>
    <row r="94" spans="3:39" s="2" customFormat="1" ht="25" hidden="1" customHeight="1">
      <c r="C94" s="328"/>
      <c r="D94" s="343"/>
      <c r="E94" s="246" t="s">
        <v>75</v>
      </c>
      <c r="F94" s="247"/>
      <c r="G94" s="247"/>
      <c r="H94" s="125">
        <f t="shared" si="28"/>
        <v>0</v>
      </c>
      <c r="I94" s="256" t="e">
        <f>+#REF!</f>
        <v>#REF!</v>
      </c>
      <c r="J94" s="256"/>
      <c r="K94" s="256" t="e">
        <f>+#REF!</f>
        <v>#REF!</v>
      </c>
      <c r="L94" s="256" t="e">
        <f>+#REF!</f>
        <v>#REF!</v>
      </c>
      <c r="M94" s="256" t="e">
        <f>+#REF!</f>
        <v>#REF!</v>
      </c>
      <c r="N94" s="256" t="e">
        <f>+#REF!</f>
        <v>#REF!</v>
      </c>
      <c r="O94" s="256" t="e">
        <f>+#REF!</f>
        <v>#REF!</v>
      </c>
      <c r="P94" s="256" t="e">
        <f>+#REF!</f>
        <v>#REF!</v>
      </c>
      <c r="Q94" s="256"/>
      <c r="R94" s="256" t="e">
        <f>+#REF!</f>
        <v>#REF!</v>
      </c>
      <c r="S94" s="256" t="e">
        <f>+#REF!</f>
        <v>#REF!</v>
      </c>
      <c r="T94" s="256" t="e">
        <f>+#REF!</f>
        <v>#REF!</v>
      </c>
      <c r="U94" s="256" t="e">
        <f>+#REF!</f>
        <v>#REF!</v>
      </c>
      <c r="V94" s="256" t="e">
        <f>+#REF!</f>
        <v>#REF!</v>
      </c>
      <c r="W94" s="256" t="e">
        <f>+#REF!</f>
        <v>#REF!</v>
      </c>
      <c r="X94" s="256"/>
      <c r="Y94" s="256" t="e">
        <f>+#REF!</f>
        <v>#REF!</v>
      </c>
      <c r="Z94" s="256" t="e">
        <f>+#REF!</f>
        <v>#REF!</v>
      </c>
      <c r="AA94" s="256" t="e">
        <f>+#REF!</f>
        <v>#REF!</v>
      </c>
      <c r="AB94" s="256"/>
      <c r="AC94" s="256"/>
      <c r="AD94" s="256"/>
      <c r="AE94" s="256"/>
      <c r="AF94" s="256"/>
      <c r="AG94" s="248"/>
      <c r="AH94" s="249"/>
      <c r="AI94" s="248"/>
      <c r="AJ94" s="248"/>
      <c r="AK94" s="248"/>
      <c r="AL94" s="248"/>
      <c r="AM94" s="248"/>
    </row>
    <row r="95" spans="3:39" s="2" customFormat="1" ht="25" hidden="1" customHeight="1">
      <c r="C95" s="329"/>
      <c r="D95" s="344"/>
      <c r="E95" s="257" t="s">
        <v>73</v>
      </c>
      <c r="F95" s="255"/>
      <c r="G95" s="259"/>
      <c r="H95" s="125">
        <f t="shared" si="28"/>
        <v>0</v>
      </c>
      <c r="I95" s="258" t="e">
        <f>+#REF!+#REF!</f>
        <v>#REF!</v>
      </c>
      <c r="J95" s="258"/>
      <c r="K95" s="258" t="e">
        <f>+#REF!+#REF!</f>
        <v>#REF!</v>
      </c>
      <c r="L95" s="258" t="e">
        <f>+#REF!+#REF!</f>
        <v>#REF!</v>
      </c>
      <c r="M95" s="258" t="e">
        <f>+#REF!+#REF!</f>
        <v>#REF!</v>
      </c>
      <c r="N95" s="258" t="e">
        <f>+#REF!+#REF!</f>
        <v>#REF!</v>
      </c>
      <c r="O95" s="258" t="e">
        <f>+#REF!+#REF!</f>
        <v>#REF!</v>
      </c>
      <c r="P95" s="258" t="e">
        <f>+#REF!+#REF!</f>
        <v>#REF!</v>
      </c>
      <c r="Q95" s="258"/>
      <c r="R95" s="258" t="e">
        <f>+#REF!+#REF!</f>
        <v>#REF!</v>
      </c>
      <c r="S95" s="258" t="e">
        <f>+#REF!+#REF!</f>
        <v>#REF!</v>
      </c>
      <c r="T95" s="258" t="e">
        <f>+#REF!+#REF!</f>
        <v>#REF!</v>
      </c>
      <c r="U95" s="258" t="e">
        <f>+#REF!+#REF!</f>
        <v>#REF!</v>
      </c>
      <c r="V95" s="258" t="e">
        <f>+#REF!+#REF!</f>
        <v>#REF!</v>
      </c>
      <c r="W95" s="258" t="e">
        <f>+#REF!+#REF!</f>
        <v>#REF!</v>
      </c>
      <c r="X95" s="258"/>
      <c r="Y95" s="258" t="e">
        <f>+#REF!+#REF!</f>
        <v>#REF!</v>
      </c>
      <c r="Z95" s="258" t="e">
        <f>+#REF!+#REF!</f>
        <v>#REF!</v>
      </c>
      <c r="AA95" s="258" t="e">
        <f>+#REF!+#REF!</f>
        <v>#REF!</v>
      </c>
      <c r="AB95" s="258"/>
      <c r="AC95" s="258"/>
      <c r="AD95" s="258"/>
      <c r="AE95" s="258"/>
      <c r="AF95" s="258"/>
      <c r="AG95" s="248"/>
      <c r="AH95" s="249"/>
      <c r="AI95" s="248"/>
      <c r="AJ95" s="248"/>
      <c r="AK95" s="248"/>
      <c r="AL95" s="248"/>
      <c r="AM95" s="248"/>
    </row>
  </sheetData>
  <mergeCells count="42">
    <mergeCell ref="D60:D95"/>
    <mergeCell ref="C60:C95"/>
    <mergeCell ref="M5:N5"/>
    <mergeCell ref="K6:L6"/>
    <mergeCell ref="M6:N6"/>
    <mergeCell ref="C13:C17"/>
    <mergeCell ref="C23:C28"/>
    <mergeCell ref="C29:C33"/>
    <mergeCell ref="C3:I6"/>
    <mergeCell ref="C11:E11"/>
    <mergeCell ref="D14:D15"/>
    <mergeCell ref="D16:D17"/>
    <mergeCell ref="D25:D26"/>
    <mergeCell ref="D27:D28"/>
    <mergeCell ref="D24:E24"/>
    <mergeCell ref="D30:D31"/>
    <mergeCell ref="S3:Y3"/>
    <mergeCell ref="S4:Y4"/>
    <mergeCell ref="S5:Y5"/>
    <mergeCell ref="S6:Y6"/>
    <mergeCell ref="Q3:R3"/>
    <mergeCell ref="Q4:R4"/>
    <mergeCell ref="Q5:R5"/>
    <mergeCell ref="Q6:R6"/>
    <mergeCell ref="P3:P6"/>
    <mergeCell ref="K3:L3"/>
    <mergeCell ref="M3:N3"/>
    <mergeCell ref="K4:L4"/>
    <mergeCell ref="M4:N4"/>
    <mergeCell ref="K5:L5"/>
    <mergeCell ref="D32:D33"/>
    <mergeCell ref="D19:D20"/>
    <mergeCell ref="D21:D22"/>
    <mergeCell ref="C18:C22"/>
    <mergeCell ref="C53:D58"/>
    <mergeCell ref="C34:C38"/>
    <mergeCell ref="D35:D36"/>
    <mergeCell ref="D37:D38"/>
    <mergeCell ref="C39:C43"/>
    <mergeCell ref="D40:D41"/>
    <mergeCell ref="D42:D43"/>
    <mergeCell ref="C44:C51"/>
  </mergeCells>
  <pageMargins left="0" right="0" top="0" bottom="0" header="0" footer="0"/>
  <pageSetup paperSize="9" scale="51" orientation="landscape" r:id="rId1"/>
  <colBreaks count="1" manualBreakCount="1">
    <brk id="39" max="44" man="1"/>
  </colBreaks>
  <legacy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U49"/>
  <sheetViews>
    <sheetView showGridLines="0" zoomScale="40" zoomScaleNormal="40" workbookViewId="0">
      <selection activeCell="D64" sqref="D64"/>
    </sheetView>
  </sheetViews>
  <sheetFormatPr defaultColWidth="9" defaultRowHeight="14.6"/>
  <cols>
    <col min="1" max="1" width="2.15234375" style="1" customWidth="1"/>
    <col min="2" max="2" width="1.15234375" style="1" customWidth="1"/>
    <col min="3" max="3" width="13.3046875" style="1" customWidth="1"/>
    <col min="4" max="4" width="21" style="1" customWidth="1"/>
    <col min="5" max="24" width="9.84375" style="1" customWidth="1"/>
    <col min="25" max="29" width="10.69140625" style="1" customWidth="1"/>
    <col min="30" max="30" width="5" style="1" customWidth="1"/>
    <col min="31" max="32" width="9" style="1"/>
    <col min="33" max="33" width="14.53515625" style="1" bestFit="1" customWidth="1"/>
    <col min="34" max="35" width="9" style="1"/>
    <col min="36" max="36" width="20.3828125" style="1" customWidth="1"/>
    <col min="37" max="16384" width="9" style="1"/>
  </cols>
  <sheetData>
    <row r="1" spans="3:47" ht="6" customHeight="1" thickBot="1"/>
    <row r="2" spans="3:47" ht="22.5" customHeight="1">
      <c r="C2" s="264" t="s">
        <v>15</v>
      </c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5" t="s">
        <v>0</v>
      </c>
      <c r="T2" s="266"/>
      <c r="U2" s="267"/>
      <c r="V2" s="265" t="s">
        <v>1</v>
      </c>
      <c r="W2" s="266"/>
      <c r="X2" s="267"/>
    </row>
    <row r="3" spans="3:47" ht="15" customHeight="1"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8" t="s">
        <v>2</v>
      </c>
      <c r="T3" s="269"/>
      <c r="U3" s="270"/>
      <c r="V3" s="268" t="s">
        <v>33</v>
      </c>
      <c r="W3" s="269"/>
      <c r="X3" s="270"/>
    </row>
    <row r="4" spans="3:47" ht="15" customHeight="1"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8" t="s">
        <v>5</v>
      </c>
      <c r="T4" s="269"/>
      <c r="U4" s="270"/>
      <c r="V4" s="271">
        <v>46054</v>
      </c>
      <c r="W4" s="272"/>
      <c r="X4" s="273"/>
    </row>
    <row r="5" spans="3:47" ht="15.75" customHeight="1" thickBot="1"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74" t="s">
        <v>6</v>
      </c>
      <c r="T5" s="275"/>
      <c r="U5" s="276"/>
      <c r="V5" s="277">
        <v>46054</v>
      </c>
      <c r="W5" s="278"/>
      <c r="X5" s="279"/>
    </row>
    <row r="6" spans="3:47">
      <c r="V6" s="87"/>
      <c r="W6" s="87"/>
    </row>
    <row r="7" spans="3:47">
      <c r="C7" s="1" t="s">
        <v>87</v>
      </c>
      <c r="Z7" s="280" t="s">
        <v>16</v>
      </c>
      <c r="AA7" s="280"/>
      <c r="AB7" s="280"/>
    </row>
    <row r="8" spans="3:47" ht="4.5" customHeight="1" thickBot="1"/>
    <row r="9" spans="3:47" ht="31.5" customHeight="1">
      <c r="C9" s="281" t="s">
        <v>17</v>
      </c>
      <c r="D9" s="282"/>
      <c r="E9" s="285" t="s">
        <v>59</v>
      </c>
      <c r="F9" s="353"/>
      <c r="G9" s="286"/>
      <c r="H9" s="354" t="s">
        <v>60</v>
      </c>
      <c r="I9" s="355"/>
      <c r="J9" s="356"/>
      <c r="K9" s="288" t="s">
        <v>32</v>
      </c>
      <c r="L9" s="290" t="s">
        <v>64</v>
      </c>
      <c r="M9" s="290"/>
      <c r="N9" s="290"/>
      <c r="O9" s="290"/>
      <c r="P9" s="290" t="s">
        <v>63</v>
      </c>
      <c r="Q9" s="290"/>
      <c r="R9" s="290"/>
      <c r="S9" s="290" t="s">
        <v>62</v>
      </c>
      <c r="T9" s="290"/>
      <c r="U9" s="290"/>
      <c r="V9" s="291" t="s">
        <v>61</v>
      </c>
      <c r="W9" s="292"/>
      <c r="X9" s="293"/>
      <c r="Y9" s="293" t="s">
        <v>18</v>
      </c>
      <c r="Z9" s="290"/>
      <c r="AA9" s="294"/>
      <c r="AB9" s="295"/>
      <c r="AC9" s="296" t="s">
        <v>19</v>
      </c>
    </row>
    <row r="10" spans="3:47" ht="31.5" customHeight="1" thickBot="1">
      <c r="C10" s="283"/>
      <c r="D10" s="284"/>
      <c r="E10" s="194" t="s">
        <v>38</v>
      </c>
      <c r="F10" s="195" t="s">
        <v>21</v>
      </c>
      <c r="G10" s="195" t="s">
        <v>20</v>
      </c>
      <c r="H10" s="195" t="s">
        <v>38</v>
      </c>
      <c r="I10" s="195" t="s">
        <v>21</v>
      </c>
      <c r="J10" s="195" t="s">
        <v>20</v>
      </c>
      <c r="K10" s="289"/>
      <c r="L10" s="195" t="s">
        <v>38</v>
      </c>
      <c r="M10" s="195" t="s">
        <v>21</v>
      </c>
      <c r="N10" s="195" t="s">
        <v>31</v>
      </c>
      <c r="O10" s="195" t="s">
        <v>20</v>
      </c>
      <c r="P10" s="196" t="s">
        <v>38</v>
      </c>
      <c r="Q10" s="195" t="s">
        <v>21</v>
      </c>
      <c r="R10" s="195" t="s">
        <v>20</v>
      </c>
      <c r="S10" s="195" t="s">
        <v>38</v>
      </c>
      <c r="T10" s="195" t="s">
        <v>21</v>
      </c>
      <c r="U10" s="195" t="s">
        <v>20</v>
      </c>
      <c r="V10" s="195" t="s">
        <v>38</v>
      </c>
      <c r="W10" s="195" t="s">
        <v>21</v>
      </c>
      <c r="X10" s="195" t="s">
        <v>20</v>
      </c>
      <c r="Y10" s="196" t="s">
        <v>38</v>
      </c>
      <c r="Z10" s="197" t="s">
        <v>21</v>
      </c>
      <c r="AA10" s="197" t="s">
        <v>31</v>
      </c>
      <c r="AB10" s="198" t="s">
        <v>20</v>
      </c>
      <c r="AC10" s="297"/>
    </row>
    <row r="11" spans="3:47" ht="31.5" customHeight="1">
      <c r="C11" s="298" t="s">
        <v>67</v>
      </c>
      <c r="D11" s="12" t="s">
        <v>22</v>
      </c>
      <c r="E11" s="13">
        <f t="shared" ref="E11:U12" si="0">E17+E24</f>
        <v>24</v>
      </c>
      <c r="F11" s="13">
        <f t="shared" si="0"/>
        <v>3</v>
      </c>
      <c r="G11" s="13">
        <f t="shared" si="0"/>
        <v>1</v>
      </c>
      <c r="H11" s="24">
        <f t="shared" si="0"/>
        <v>63</v>
      </c>
      <c r="I11" s="24">
        <f t="shared" si="0"/>
        <v>6</v>
      </c>
      <c r="J11" s="24">
        <f t="shared" si="0"/>
        <v>3</v>
      </c>
      <c r="K11" s="24">
        <f t="shared" si="0"/>
        <v>4</v>
      </c>
      <c r="L11" s="13">
        <f t="shared" si="0"/>
        <v>110</v>
      </c>
      <c r="M11" s="13">
        <f t="shared" si="0"/>
        <v>242</v>
      </c>
      <c r="N11" s="13">
        <f t="shared" si="0"/>
        <v>5</v>
      </c>
      <c r="O11" s="13">
        <f t="shared" si="0"/>
        <v>496</v>
      </c>
      <c r="P11" s="13">
        <f t="shared" si="0"/>
        <v>40</v>
      </c>
      <c r="Q11" s="13">
        <f t="shared" si="0"/>
        <v>118</v>
      </c>
      <c r="R11" s="13">
        <f t="shared" si="0"/>
        <v>68</v>
      </c>
      <c r="S11" s="13">
        <f t="shared" si="0"/>
        <v>32</v>
      </c>
      <c r="T11" s="13">
        <f>T17+T24</f>
        <v>35</v>
      </c>
      <c r="U11" s="13">
        <f t="shared" si="0"/>
        <v>19</v>
      </c>
      <c r="V11" s="95">
        <f>V17+V24</f>
        <v>16</v>
      </c>
      <c r="W11" s="13">
        <f>W17+W24</f>
        <v>31</v>
      </c>
      <c r="X11" s="95">
        <f t="shared" ref="X11:X12" si="1">X17+X24</f>
        <v>7</v>
      </c>
      <c r="Y11" s="141">
        <f>E11+H11+L11+P11+S11+K11+V11</f>
        <v>289</v>
      </c>
      <c r="Z11" s="142">
        <f>I11+M11+Q11+T11+W11+F11</f>
        <v>435</v>
      </c>
      <c r="AA11" s="142">
        <f>+N11</f>
        <v>5</v>
      </c>
      <c r="AB11" s="143">
        <f>+O11+R11+U11+X11+G11+J11</f>
        <v>594</v>
      </c>
      <c r="AC11" s="14">
        <f>SUM(Y11:AB11)</f>
        <v>1323</v>
      </c>
      <c r="AE11" s="15"/>
      <c r="AF11" s="28"/>
      <c r="AI11" s="86"/>
    </row>
    <row r="12" spans="3:47" ht="31.5" customHeight="1">
      <c r="C12" s="299"/>
      <c r="D12" s="16" t="s">
        <v>23</v>
      </c>
      <c r="E12" s="17">
        <f>E18+E25</f>
        <v>24</v>
      </c>
      <c r="F12" s="17">
        <f t="shared" si="0"/>
        <v>3</v>
      </c>
      <c r="G12" s="17">
        <f t="shared" si="0"/>
        <v>1</v>
      </c>
      <c r="H12" s="17">
        <f t="shared" si="0"/>
        <v>63</v>
      </c>
      <c r="I12" s="17">
        <f t="shared" si="0"/>
        <v>6</v>
      </c>
      <c r="J12" s="17">
        <f t="shared" si="0"/>
        <v>3</v>
      </c>
      <c r="K12" s="17">
        <f t="shared" si="0"/>
        <v>4</v>
      </c>
      <c r="L12" s="17">
        <f t="shared" si="0"/>
        <v>110</v>
      </c>
      <c r="M12" s="17">
        <f t="shared" si="0"/>
        <v>242</v>
      </c>
      <c r="N12" s="17">
        <f t="shared" si="0"/>
        <v>5</v>
      </c>
      <c r="O12" s="17">
        <f t="shared" si="0"/>
        <v>496</v>
      </c>
      <c r="P12" s="17">
        <f t="shared" si="0"/>
        <v>40</v>
      </c>
      <c r="Q12" s="17">
        <f t="shared" si="0"/>
        <v>118</v>
      </c>
      <c r="R12" s="17">
        <f t="shared" si="0"/>
        <v>68</v>
      </c>
      <c r="S12" s="17">
        <f t="shared" si="0"/>
        <v>32</v>
      </c>
      <c r="T12" s="17">
        <f t="shared" si="0"/>
        <v>35</v>
      </c>
      <c r="U12" s="17">
        <f t="shared" si="0"/>
        <v>19</v>
      </c>
      <c r="V12" s="17">
        <f t="shared" ref="V12:W12" si="2">V18+V25</f>
        <v>16</v>
      </c>
      <c r="W12" s="17">
        <f t="shared" si="2"/>
        <v>31</v>
      </c>
      <c r="X12" s="17">
        <f t="shared" si="1"/>
        <v>7</v>
      </c>
      <c r="Y12" s="18">
        <f>E12+H12+L12+P12+S12+K12+V12</f>
        <v>289</v>
      </c>
      <c r="Z12" s="98">
        <f>I12+M12+Q12+T12+W12+F12</f>
        <v>435</v>
      </c>
      <c r="AA12" s="98">
        <f>+N12</f>
        <v>5</v>
      </c>
      <c r="AB12" s="19">
        <f>+O12+R12+U12+X12+G12+J12</f>
        <v>594</v>
      </c>
      <c r="AC12" s="20">
        <f>SUM(Y12:AB12)</f>
        <v>1323</v>
      </c>
      <c r="AE12" s="21"/>
      <c r="AF12" s="28"/>
      <c r="AG12" s="28"/>
      <c r="AH12" s="245"/>
      <c r="AU12" s="40"/>
    </row>
    <row r="13" spans="3:47" ht="31.5" customHeight="1">
      <c r="C13" s="299"/>
      <c r="D13" s="22" t="s">
        <v>24</v>
      </c>
      <c r="E13" s="23">
        <f>E11-E12</f>
        <v>0</v>
      </c>
      <c r="F13" s="23">
        <f t="shared" ref="F13:W13" si="3">F11-F12</f>
        <v>0</v>
      </c>
      <c r="G13" s="23">
        <f t="shared" si="3"/>
        <v>0</v>
      </c>
      <c r="H13" s="23">
        <f t="shared" si="3"/>
        <v>0</v>
      </c>
      <c r="I13" s="23">
        <f t="shared" si="3"/>
        <v>0</v>
      </c>
      <c r="J13" s="23">
        <f t="shared" si="3"/>
        <v>0</v>
      </c>
      <c r="K13" s="23">
        <f t="shared" si="3"/>
        <v>0</v>
      </c>
      <c r="L13" s="23">
        <f t="shared" si="3"/>
        <v>0</v>
      </c>
      <c r="M13" s="23">
        <f t="shared" si="3"/>
        <v>0</v>
      </c>
      <c r="N13" s="23">
        <f t="shared" si="3"/>
        <v>0</v>
      </c>
      <c r="O13" s="23">
        <f t="shared" si="3"/>
        <v>0</v>
      </c>
      <c r="P13" s="23">
        <f t="shared" si="3"/>
        <v>0</v>
      </c>
      <c r="Q13" s="23">
        <f t="shared" si="3"/>
        <v>0</v>
      </c>
      <c r="R13" s="23">
        <f t="shared" si="3"/>
        <v>0</v>
      </c>
      <c r="S13" s="23">
        <f t="shared" si="3"/>
        <v>0</v>
      </c>
      <c r="T13" s="23">
        <f t="shared" si="3"/>
        <v>0</v>
      </c>
      <c r="U13" s="23">
        <f t="shared" si="3"/>
        <v>0</v>
      </c>
      <c r="V13" s="23">
        <f t="shared" si="3"/>
        <v>0</v>
      </c>
      <c r="W13" s="23">
        <f t="shared" si="3"/>
        <v>0</v>
      </c>
      <c r="X13" s="96">
        <f>X11-X12</f>
        <v>0</v>
      </c>
      <c r="Y13" s="18">
        <f>E13+H13+L13+P13+S13+K13+V13</f>
        <v>0</v>
      </c>
      <c r="Z13" s="98">
        <f>I13+M13+Q13+T13+W13+F13</f>
        <v>0</v>
      </c>
      <c r="AA13" s="98">
        <f>+N13</f>
        <v>0</v>
      </c>
      <c r="AB13" s="19">
        <f>+O13+R13+U13+X13+G13+J13</f>
        <v>0</v>
      </c>
      <c r="AC13" s="20">
        <f>SUM(Y13:AB13)</f>
        <v>0</v>
      </c>
      <c r="AE13" s="28"/>
      <c r="AF13" s="28"/>
      <c r="AU13" s="40"/>
    </row>
    <row r="14" spans="3:47" ht="31.5" customHeight="1" thickBot="1">
      <c r="C14" s="299"/>
      <c r="D14" s="39" t="s">
        <v>25</v>
      </c>
      <c r="E14" s="151">
        <f>IFERROR(E12/E11,0)</f>
        <v>1</v>
      </c>
      <c r="F14" s="152">
        <f>IFERROR(F12/F11,0)</f>
        <v>1</v>
      </c>
      <c r="G14" s="152">
        <f>IFERROR(G12/G11,0)</f>
        <v>1</v>
      </c>
      <c r="H14" s="152">
        <f t="shared" ref="H14:X14" si="4">IFERROR(H12/H11,0)</f>
        <v>1</v>
      </c>
      <c r="I14" s="152">
        <f t="shared" si="4"/>
        <v>1</v>
      </c>
      <c r="J14" s="152">
        <f t="shared" si="4"/>
        <v>1</v>
      </c>
      <c r="K14" s="152">
        <f>IFERROR(K12/K11,0)</f>
        <v>1</v>
      </c>
      <c r="L14" s="152">
        <f t="shared" si="4"/>
        <v>1</v>
      </c>
      <c r="M14" s="153">
        <f t="shared" si="4"/>
        <v>1</v>
      </c>
      <c r="N14" s="153">
        <f t="shared" si="4"/>
        <v>1</v>
      </c>
      <c r="O14" s="153">
        <f t="shared" si="4"/>
        <v>1</v>
      </c>
      <c r="P14" s="152">
        <f t="shared" si="4"/>
        <v>1</v>
      </c>
      <c r="Q14" s="153">
        <f t="shared" si="4"/>
        <v>1</v>
      </c>
      <c r="R14" s="153">
        <f t="shared" si="4"/>
        <v>1</v>
      </c>
      <c r="S14" s="153">
        <f t="shared" si="4"/>
        <v>1</v>
      </c>
      <c r="T14" s="153">
        <f t="shared" si="4"/>
        <v>1</v>
      </c>
      <c r="U14" s="153">
        <f t="shared" si="4"/>
        <v>1</v>
      </c>
      <c r="V14" s="153">
        <f t="shared" si="4"/>
        <v>1</v>
      </c>
      <c r="W14" s="153">
        <f t="shared" si="4"/>
        <v>1</v>
      </c>
      <c r="X14" s="154">
        <f t="shared" si="4"/>
        <v>1</v>
      </c>
      <c r="Y14" s="97">
        <f>IFERROR(Y12/Y11,0)</f>
        <v>1</v>
      </c>
      <c r="Z14" s="44">
        <f>IFERROR(Z12/Z11,0)</f>
        <v>1</v>
      </c>
      <c r="AA14" s="44">
        <f>IFERROR(AA12/AA11,0)</f>
        <v>1</v>
      </c>
      <c r="AB14" s="45">
        <f>IFERROR(AB12/AB11,0)</f>
        <v>1</v>
      </c>
      <c r="AC14" s="155">
        <f>+AC12/AC11</f>
        <v>1</v>
      </c>
      <c r="AD14" s="28"/>
      <c r="AE14" s="28"/>
      <c r="AF14" s="86"/>
      <c r="AU14" s="40"/>
    </row>
    <row r="15" spans="3:47" ht="31.5" customHeight="1" thickBot="1">
      <c r="C15" s="299"/>
      <c r="D15" s="156" t="s">
        <v>44</v>
      </c>
      <c r="E15" s="303">
        <f>+E12+G12+F12</f>
        <v>28</v>
      </c>
      <c r="F15" s="304"/>
      <c r="G15" s="302"/>
      <c r="H15" s="303">
        <f>SUM(H12:J12)</f>
        <v>72</v>
      </c>
      <c r="I15" s="304"/>
      <c r="J15" s="302"/>
      <c r="K15" s="158">
        <f>+K12</f>
        <v>4</v>
      </c>
      <c r="L15" s="357">
        <f>SUM(L12:O12)</f>
        <v>853</v>
      </c>
      <c r="M15" s="304"/>
      <c r="N15" s="304"/>
      <c r="O15" s="302"/>
      <c r="P15" s="303">
        <f>SUM(P12:R12)</f>
        <v>226</v>
      </c>
      <c r="Q15" s="304"/>
      <c r="R15" s="302"/>
      <c r="S15" s="303">
        <f>SUM(S12:U12)</f>
        <v>86</v>
      </c>
      <c r="T15" s="304"/>
      <c r="U15" s="302"/>
      <c r="V15" s="303">
        <f>SUM(V12:X12)</f>
        <v>54</v>
      </c>
      <c r="W15" s="304"/>
      <c r="X15" s="305"/>
      <c r="Y15" s="306">
        <f>SUM(Y12:AB12)</f>
        <v>1323</v>
      </c>
      <c r="Z15" s="307"/>
      <c r="AA15" s="307"/>
      <c r="AB15" s="308"/>
      <c r="AC15" s="157"/>
      <c r="AD15" s="28"/>
      <c r="AE15" s="28"/>
      <c r="AF15" s="86"/>
      <c r="AU15" s="40"/>
    </row>
    <row r="16" spans="3:47" ht="31.5" customHeight="1" thickTop="1" thickBot="1">
      <c r="C16" s="300"/>
      <c r="D16" s="149" t="s">
        <v>26</v>
      </c>
      <c r="E16" s="309">
        <f>E15/AC12</f>
        <v>2.1164021164021163E-2</v>
      </c>
      <c r="F16" s="314"/>
      <c r="G16" s="310"/>
      <c r="H16" s="313">
        <f>H15/AC12</f>
        <v>5.4421768707482991E-2</v>
      </c>
      <c r="I16" s="314"/>
      <c r="J16" s="310"/>
      <c r="K16" s="233">
        <f>K15/AC12</f>
        <v>3.0234315948601664E-3</v>
      </c>
      <c r="L16" s="313">
        <f>L15/$AC$12</f>
        <v>0.64474678760393045</v>
      </c>
      <c r="M16" s="314"/>
      <c r="N16" s="314"/>
      <c r="O16" s="310"/>
      <c r="P16" s="314">
        <f>P15/$AC$12</f>
        <v>0.17082388510959939</v>
      </c>
      <c r="Q16" s="314"/>
      <c r="R16" s="310"/>
      <c r="S16" s="313">
        <f>S15/$AC$12</f>
        <v>6.500377928949358E-2</v>
      </c>
      <c r="T16" s="314"/>
      <c r="U16" s="310"/>
      <c r="V16" s="313">
        <f>V15/$AC$12</f>
        <v>4.0816326530612242E-2</v>
      </c>
      <c r="W16" s="314"/>
      <c r="X16" s="314"/>
      <c r="Y16" s="315">
        <f>Y15/$AC$12</f>
        <v>1</v>
      </c>
      <c r="Z16" s="316"/>
      <c r="AA16" s="316"/>
      <c r="AB16" s="317"/>
      <c r="AC16" s="150"/>
      <c r="AE16" s="28"/>
      <c r="AJ16" s="28"/>
      <c r="AU16" s="40"/>
    </row>
    <row r="17" spans="3:47" ht="31.5" customHeight="1">
      <c r="C17" s="311" t="s">
        <v>65</v>
      </c>
      <c r="D17" s="22" t="s">
        <v>22</v>
      </c>
      <c r="E17" s="24">
        <v>21</v>
      </c>
      <c r="F17" s="24">
        <v>2</v>
      </c>
      <c r="G17" s="24">
        <v>1</v>
      </c>
      <c r="H17" s="24">
        <v>34</v>
      </c>
      <c r="I17" s="25">
        <v>5</v>
      </c>
      <c r="J17" s="25">
        <v>3</v>
      </c>
      <c r="K17" s="25">
        <v>4</v>
      </c>
      <c r="L17" s="25">
        <v>63</v>
      </c>
      <c r="M17" s="25">
        <v>124</v>
      </c>
      <c r="N17" s="25">
        <v>0</v>
      </c>
      <c r="O17" s="25">
        <v>243</v>
      </c>
      <c r="P17" s="24">
        <v>24</v>
      </c>
      <c r="Q17" s="25">
        <v>67</v>
      </c>
      <c r="R17" s="25">
        <v>24</v>
      </c>
      <c r="S17" s="25">
        <v>19</v>
      </c>
      <c r="T17" s="25">
        <v>16</v>
      </c>
      <c r="U17" s="25">
        <v>12</v>
      </c>
      <c r="V17" s="25">
        <v>9</v>
      </c>
      <c r="W17" s="25">
        <v>16</v>
      </c>
      <c r="X17" s="145">
        <v>3</v>
      </c>
      <c r="Y17" s="146">
        <f t="shared" ref="Y17:Y22" si="5">E17+H17+L17+P17+S17+K17+V17</f>
        <v>174</v>
      </c>
      <c r="Z17" s="142">
        <f>I17+M17+Q17+T17+W17+F17</f>
        <v>230</v>
      </c>
      <c r="AA17" s="147">
        <f>+N17</f>
        <v>0</v>
      </c>
      <c r="AB17" s="143">
        <f>+O17+R17+U17+X17+G17+J17</f>
        <v>286</v>
      </c>
      <c r="AC17" s="26">
        <f t="shared" ref="AC17:AC21" si="6">SUM(Y17:AB17)</f>
        <v>690</v>
      </c>
      <c r="AE17" s="76"/>
      <c r="AJ17" s="28"/>
      <c r="AU17" s="40"/>
    </row>
    <row r="18" spans="3:47" ht="31.5" customHeight="1">
      <c r="C18" s="312"/>
      <c r="D18" s="16" t="s">
        <v>23</v>
      </c>
      <c r="E18" s="17">
        <f t="shared" ref="E18:J18" si="7">+E17-SUM(E19:E22)</f>
        <v>21</v>
      </c>
      <c r="F18" s="27">
        <f t="shared" si="7"/>
        <v>2</v>
      </c>
      <c r="G18" s="27">
        <f t="shared" si="7"/>
        <v>1</v>
      </c>
      <c r="H18" s="27">
        <f t="shared" si="7"/>
        <v>34</v>
      </c>
      <c r="I18" s="27">
        <f t="shared" si="7"/>
        <v>5</v>
      </c>
      <c r="J18" s="27">
        <f t="shared" si="7"/>
        <v>3</v>
      </c>
      <c r="K18" s="27">
        <f t="shared" ref="K18:X18" si="8">+K17-SUM(K19:K22)</f>
        <v>4</v>
      </c>
      <c r="L18" s="27">
        <f>+L17-SUM(L19:L22)</f>
        <v>63</v>
      </c>
      <c r="M18" s="27">
        <f>+M17-SUM(M19:M22)</f>
        <v>124</v>
      </c>
      <c r="N18" s="27">
        <f t="shared" si="8"/>
        <v>0</v>
      </c>
      <c r="O18" s="27">
        <f t="shared" si="8"/>
        <v>243</v>
      </c>
      <c r="P18" s="17">
        <f t="shared" si="8"/>
        <v>24</v>
      </c>
      <c r="Q18" s="27">
        <f t="shared" si="8"/>
        <v>67</v>
      </c>
      <c r="R18" s="27">
        <f t="shared" si="8"/>
        <v>24</v>
      </c>
      <c r="S18" s="27">
        <f t="shared" si="8"/>
        <v>19</v>
      </c>
      <c r="T18" s="27">
        <f>+T17-SUM(T19:T22)</f>
        <v>16</v>
      </c>
      <c r="U18" s="27">
        <f t="shared" si="8"/>
        <v>12</v>
      </c>
      <c r="V18" s="27">
        <f t="shared" si="8"/>
        <v>9</v>
      </c>
      <c r="W18" s="27">
        <f>+W17-SUM(W19:W22)</f>
        <v>16</v>
      </c>
      <c r="X18" s="144">
        <f t="shared" si="8"/>
        <v>3</v>
      </c>
      <c r="Y18" s="18">
        <f t="shared" si="5"/>
        <v>174</v>
      </c>
      <c r="Z18" s="98">
        <f>I18+M18+Q18+T18+W18+F18</f>
        <v>230</v>
      </c>
      <c r="AA18" s="98">
        <f t="shared" ref="AA18:AA22" si="9">+N18</f>
        <v>0</v>
      </c>
      <c r="AB18" s="19">
        <f>+O18+R18+U18+X18+G18+J18</f>
        <v>286</v>
      </c>
      <c r="AC18" s="20">
        <f t="shared" si="6"/>
        <v>690</v>
      </c>
      <c r="AE18" s="86"/>
      <c r="AF18" s="28"/>
      <c r="AI18" s="86"/>
      <c r="AU18" s="40"/>
    </row>
    <row r="19" spans="3:47" ht="31.5" customHeight="1">
      <c r="C19" s="312"/>
      <c r="D19" s="29" t="s">
        <v>27</v>
      </c>
      <c r="E19" s="30"/>
      <c r="F19" s="42"/>
      <c r="G19" s="42"/>
      <c r="H19" s="42"/>
      <c r="I19" s="42"/>
      <c r="J19" s="42"/>
      <c r="K19" s="42"/>
      <c r="L19" s="42"/>
      <c r="M19" s="42"/>
      <c r="N19" s="32"/>
      <c r="O19" s="32"/>
      <c r="P19" s="32"/>
      <c r="Q19" s="37"/>
      <c r="R19" s="32"/>
      <c r="S19" s="32"/>
      <c r="T19" s="37"/>
      <c r="U19" s="32"/>
      <c r="V19" s="32"/>
      <c r="W19" s="37"/>
      <c r="X19" s="37"/>
      <c r="Y19" s="18">
        <f t="shared" si="5"/>
        <v>0</v>
      </c>
      <c r="Z19" s="98">
        <f>I19+M19+Q19+T19+W19+F19</f>
        <v>0</v>
      </c>
      <c r="AA19" s="98">
        <f t="shared" si="9"/>
        <v>0</v>
      </c>
      <c r="AB19" s="19">
        <f t="shared" ref="AB19:AB20" si="10">+O19+R19+U19+X19+G19+J19</f>
        <v>0</v>
      </c>
      <c r="AC19" s="34">
        <f>SUM(Y19:AB19)</f>
        <v>0</v>
      </c>
      <c r="AU19" s="40"/>
    </row>
    <row r="20" spans="3:47" ht="31.5" customHeight="1">
      <c r="C20" s="312"/>
      <c r="D20" s="35" t="s">
        <v>28</v>
      </c>
      <c r="E20" s="36"/>
      <c r="F20" s="43"/>
      <c r="G20" s="43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18">
        <f t="shared" si="5"/>
        <v>0</v>
      </c>
      <c r="Z20" s="98">
        <f t="shared" ref="Z20:Z22" si="11">I20+M20+Q20+T20+W20+F20</f>
        <v>0</v>
      </c>
      <c r="AA20" s="98">
        <f t="shared" si="9"/>
        <v>0</v>
      </c>
      <c r="AB20" s="19">
        <f t="shared" si="10"/>
        <v>0</v>
      </c>
      <c r="AC20" s="34">
        <f t="shared" si="6"/>
        <v>0</v>
      </c>
      <c r="AI20" s="86"/>
      <c r="AU20" s="40"/>
    </row>
    <row r="21" spans="3:47" ht="31.5" customHeight="1">
      <c r="C21" s="312"/>
      <c r="D21" s="35" t="s">
        <v>29</v>
      </c>
      <c r="E21" s="36"/>
      <c r="F21" s="43"/>
      <c r="G21" s="43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8"/>
      <c r="X21" s="38"/>
      <c r="Y21" s="18">
        <f>E21+H21+L21+P21+S21+K21+V21</f>
        <v>0</v>
      </c>
      <c r="Z21" s="98">
        <f t="shared" si="11"/>
        <v>0</v>
      </c>
      <c r="AA21" s="98">
        <f t="shared" si="9"/>
        <v>0</v>
      </c>
      <c r="AB21" s="19">
        <f>+O21+R21+U21+X21+G21+J21</f>
        <v>0</v>
      </c>
      <c r="AC21" s="34">
        <f t="shared" si="6"/>
        <v>0</v>
      </c>
      <c r="AU21" s="40"/>
    </row>
    <row r="22" spans="3:47" ht="31.5" customHeight="1" thickBot="1">
      <c r="C22" s="312"/>
      <c r="D22" s="160" t="s">
        <v>30</v>
      </c>
      <c r="E22" s="161"/>
      <c r="F22" s="162"/>
      <c r="G22" s="162"/>
      <c r="H22" s="162"/>
      <c r="I22" s="140"/>
      <c r="J22" s="140"/>
      <c r="K22" s="140"/>
      <c r="L22" s="163"/>
      <c r="M22" s="163"/>
      <c r="N22" s="140"/>
      <c r="O22" s="140"/>
      <c r="P22" s="140"/>
      <c r="Q22" s="140"/>
      <c r="R22" s="163"/>
      <c r="S22" s="188"/>
      <c r="T22" s="140"/>
      <c r="U22" s="140"/>
      <c r="V22" s="140"/>
      <c r="W22" s="163"/>
      <c r="X22" s="67"/>
      <c r="Y22" s="164">
        <f t="shared" si="5"/>
        <v>0</v>
      </c>
      <c r="Z22" s="98">
        <f t="shared" si="11"/>
        <v>0</v>
      </c>
      <c r="AA22" s="165">
        <f t="shared" si="9"/>
        <v>0</v>
      </c>
      <c r="AB22" s="19">
        <f>+O22+R22+U22+X22+G22+J22</f>
        <v>0</v>
      </c>
      <c r="AC22" s="167">
        <f>SUM(Y22:AB22)</f>
        <v>0</v>
      </c>
      <c r="AU22" s="40"/>
    </row>
    <row r="23" spans="3:47" ht="31.5" customHeight="1" thickTop="1" thickBot="1">
      <c r="C23" s="300"/>
      <c r="D23" s="149" t="s">
        <v>25</v>
      </c>
      <c r="E23" s="180">
        <f>IFERROR(E18/E17,0)</f>
        <v>1</v>
      </c>
      <c r="F23" s="179">
        <f t="shared" ref="F23:AA23" si="12">IFERROR(F18/F17,0)</f>
        <v>1</v>
      </c>
      <c r="G23" s="179">
        <f t="shared" si="12"/>
        <v>1</v>
      </c>
      <c r="H23" s="179">
        <f>IFERROR(H18/H17,0)</f>
        <v>1</v>
      </c>
      <c r="I23" s="179">
        <f t="shared" si="12"/>
        <v>1</v>
      </c>
      <c r="J23" s="179">
        <f>IFERROR(J18/J17,0)</f>
        <v>1</v>
      </c>
      <c r="K23" s="177">
        <f t="shared" si="12"/>
        <v>1</v>
      </c>
      <c r="L23" s="179">
        <f t="shared" si="12"/>
        <v>1</v>
      </c>
      <c r="M23" s="179">
        <f t="shared" si="12"/>
        <v>1</v>
      </c>
      <c r="N23" s="179">
        <f>IFERROR(N18/N17,0)</f>
        <v>0</v>
      </c>
      <c r="O23" s="177">
        <f t="shared" si="12"/>
        <v>1</v>
      </c>
      <c r="P23" s="177">
        <f t="shared" si="12"/>
        <v>1</v>
      </c>
      <c r="Q23" s="177">
        <f t="shared" si="12"/>
        <v>1</v>
      </c>
      <c r="R23" s="177">
        <f t="shared" si="12"/>
        <v>1</v>
      </c>
      <c r="S23" s="176">
        <f t="shared" si="12"/>
        <v>1</v>
      </c>
      <c r="T23" s="179">
        <f t="shared" si="12"/>
        <v>1</v>
      </c>
      <c r="U23" s="177">
        <f t="shared" si="12"/>
        <v>1</v>
      </c>
      <c r="V23" s="177">
        <f t="shared" si="12"/>
        <v>1</v>
      </c>
      <c r="W23" s="176">
        <f t="shared" si="12"/>
        <v>1</v>
      </c>
      <c r="X23" s="175">
        <f t="shared" si="12"/>
        <v>1</v>
      </c>
      <c r="Y23" s="173">
        <f t="shared" si="12"/>
        <v>1</v>
      </c>
      <c r="Z23" s="172">
        <f t="shared" si="12"/>
        <v>1</v>
      </c>
      <c r="AA23" s="172">
        <f t="shared" si="12"/>
        <v>0</v>
      </c>
      <c r="AB23" s="169">
        <f>IFERROR(AB18/AB17,0)</f>
        <v>1</v>
      </c>
      <c r="AC23" s="170">
        <f>+AC18/AC17</f>
        <v>1</v>
      </c>
      <c r="AD23" s="171"/>
      <c r="AE23" s="28"/>
      <c r="AJ23" s="28"/>
      <c r="AU23" s="40"/>
    </row>
    <row r="24" spans="3:47" ht="31.5" customHeight="1" thickTop="1">
      <c r="C24" s="312" t="s">
        <v>66</v>
      </c>
      <c r="D24" s="181" t="s">
        <v>22</v>
      </c>
      <c r="E24" s="24">
        <v>3</v>
      </c>
      <c r="F24" s="24">
        <v>1</v>
      </c>
      <c r="G24" s="24">
        <v>0</v>
      </c>
      <c r="H24" s="24">
        <v>29</v>
      </c>
      <c r="I24" s="24">
        <v>1</v>
      </c>
      <c r="J24" s="24">
        <v>0</v>
      </c>
      <c r="K24" s="178"/>
      <c r="L24" s="24">
        <v>47</v>
      </c>
      <c r="M24" s="24">
        <v>118</v>
      </c>
      <c r="N24" s="24">
        <v>5</v>
      </c>
      <c r="O24" s="178">
        <v>253</v>
      </c>
      <c r="P24" s="178">
        <v>16</v>
      </c>
      <c r="Q24" s="178">
        <v>51</v>
      </c>
      <c r="R24" s="178">
        <v>44</v>
      </c>
      <c r="S24" s="178">
        <v>13</v>
      </c>
      <c r="T24" s="24">
        <v>19</v>
      </c>
      <c r="U24" s="178">
        <v>7</v>
      </c>
      <c r="V24" s="178">
        <v>7</v>
      </c>
      <c r="W24" s="178">
        <v>15</v>
      </c>
      <c r="X24" s="187">
        <v>4</v>
      </c>
      <c r="Y24" s="174">
        <f>E24+H24+L24+P24+S24+K24+V24</f>
        <v>115</v>
      </c>
      <c r="Z24" s="142">
        <f>I24+M24+Q24+T24+W24+F24</f>
        <v>205</v>
      </c>
      <c r="AA24" s="147">
        <f>+N24</f>
        <v>5</v>
      </c>
      <c r="AB24" s="143">
        <f>+O24+R24+U24+X24+G24+J24</f>
        <v>308</v>
      </c>
      <c r="AC24" s="168">
        <f t="shared" ref="AC24:AC29" si="13">SUM(Y24:AB24)</f>
        <v>633</v>
      </c>
      <c r="AJ24" s="28"/>
      <c r="AU24" s="40"/>
    </row>
    <row r="25" spans="3:47" ht="31.5" customHeight="1">
      <c r="C25" s="312"/>
      <c r="D25" s="16" t="s">
        <v>23</v>
      </c>
      <c r="E25" s="17">
        <f t="shared" ref="E25:J25" si="14">+E24-SUM(E26:E29)</f>
        <v>3</v>
      </c>
      <c r="F25" s="17">
        <f t="shared" si="14"/>
        <v>1</v>
      </c>
      <c r="G25" s="17">
        <f t="shared" si="14"/>
        <v>0</v>
      </c>
      <c r="H25" s="17">
        <f t="shared" si="14"/>
        <v>29</v>
      </c>
      <c r="I25" s="17">
        <f t="shared" si="14"/>
        <v>1</v>
      </c>
      <c r="J25" s="17">
        <f t="shared" si="14"/>
        <v>0</v>
      </c>
      <c r="K25" s="17">
        <f t="shared" ref="K25:X25" si="15">+K24-SUM(K26:K29)</f>
        <v>0</v>
      </c>
      <c r="L25" s="17">
        <f t="shared" si="15"/>
        <v>47</v>
      </c>
      <c r="M25" s="17">
        <f t="shared" si="15"/>
        <v>118</v>
      </c>
      <c r="N25" s="27">
        <f t="shared" si="15"/>
        <v>5</v>
      </c>
      <c r="O25" s="17">
        <f t="shared" si="15"/>
        <v>253</v>
      </c>
      <c r="P25" s="17">
        <f t="shared" si="15"/>
        <v>16</v>
      </c>
      <c r="Q25" s="17">
        <f t="shared" si="15"/>
        <v>51</v>
      </c>
      <c r="R25" s="17">
        <f t="shared" si="15"/>
        <v>44</v>
      </c>
      <c r="S25" s="17">
        <f t="shared" si="15"/>
        <v>13</v>
      </c>
      <c r="T25" s="27">
        <f t="shared" si="15"/>
        <v>19</v>
      </c>
      <c r="U25" s="17">
        <f t="shared" si="15"/>
        <v>7</v>
      </c>
      <c r="V25" s="17">
        <f t="shared" si="15"/>
        <v>7</v>
      </c>
      <c r="W25" s="27">
        <f>+W24-SUM(W26:W29)</f>
        <v>15</v>
      </c>
      <c r="X25" s="17">
        <f t="shared" si="15"/>
        <v>4</v>
      </c>
      <c r="Y25" s="18">
        <f t="shared" ref="Y25:Y29" si="16">E25+H25+L25+P25+S25+K25+V25</f>
        <v>115</v>
      </c>
      <c r="Z25" s="98">
        <f>I25+M25+Q25+T25+W25+F25</f>
        <v>205</v>
      </c>
      <c r="AA25" s="98">
        <f t="shared" ref="AA25:AA29" si="17">+N25</f>
        <v>5</v>
      </c>
      <c r="AB25" s="19">
        <f>+O25+R25+U25+X25+G25+J25</f>
        <v>308</v>
      </c>
      <c r="AC25" s="20">
        <f t="shared" si="13"/>
        <v>633</v>
      </c>
      <c r="AU25" s="40"/>
    </row>
    <row r="26" spans="3:47" ht="31.5" customHeight="1">
      <c r="C26" s="312"/>
      <c r="D26" s="29" t="s">
        <v>27</v>
      </c>
      <c r="E26" s="30"/>
      <c r="F26" s="42"/>
      <c r="G26" s="42"/>
      <c r="H26" s="42"/>
      <c r="I26" s="31"/>
      <c r="J26" s="31"/>
      <c r="K26" s="32"/>
      <c r="L26" s="37"/>
      <c r="M26" s="37"/>
      <c r="N26" s="32"/>
      <c r="O26" s="37"/>
      <c r="P26" s="32"/>
      <c r="Q26" s="37"/>
      <c r="R26" s="42"/>
      <c r="S26" s="42"/>
      <c r="T26" s="31"/>
      <c r="U26" s="33"/>
      <c r="V26" s="33"/>
      <c r="W26" s="33"/>
      <c r="X26" s="33"/>
      <c r="Y26" s="18">
        <f t="shared" si="16"/>
        <v>0</v>
      </c>
      <c r="Z26" s="98">
        <f>I26+M26+Q26+T26+W26+F26</f>
        <v>0</v>
      </c>
      <c r="AA26" s="98">
        <f t="shared" si="17"/>
        <v>0</v>
      </c>
      <c r="AB26" s="19">
        <f t="shared" ref="AB26:AB27" si="18">+O26+R26+U26+X26+G26+J26</f>
        <v>0</v>
      </c>
      <c r="AC26" s="34">
        <f t="shared" si="13"/>
        <v>0</v>
      </c>
      <c r="AU26" s="40"/>
    </row>
    <row r="27" spans="3:47" ht="31.5" customHeight="1">
      <c r="C27" s="312"/>
      <c r="D27" s="35" t="s">
        <v>28</v>
      </c>
      <c r="E27" s="36"/>
      <c r="F27" s="43"/>
      <c r="G27" s="43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67"/>
      <c r="W27" s="67"/>
      <c r="X27" s="67"/>
      <c r="Y27" s="18">
        <f t="shared" si="16"/>
        <v>0</v>
      </c>
      <c r="Z27" s="98">
        <f t="shared" ref="Z27:Z29" si="19">I27+M27+Q27+T27+W27+F27</f>
        <v>0</v>
      </c>
      <c r="AA27" s="98">
        <f>+N27</f>
        <v>0</v>
      </c>
      <c r="AB27" s="19">
        <f t="shared" si="18"/>
        <v>0</v>
      </c>
      <c r="AC27" s="34">
        <f t="shared" si="13"/>
        <v>0</v>
      </c>
      <c r="AU27" s="40"/>
    </row>
    <row r="28" spans="3:47" ht="31.5" customHeight="1">
      <c r="C28" s="312"/>
      <c r="D28" s="35" t="s">
        <v>29</v>
      </c>
      <c r="E28" s="36"/>
      <c r="F28" s="43"/>
      <c r="G28" s="43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18">
        <f t="shared" si="16"/>
        <v>0</v>
      </c>
      <c r="Z28" s="98">
        <f t="shared" si="19"/>
        <v>0</v>
      </c>
      <c r="AA28" s="98">
        <f>+N28</f>
        <v>0</v>
      </c>
      <c r="AB28" s="19">
        <f>+O28+R28+U28+X28+G28+J28</f>
        <v>0</v>
      </c>
      <c r="AC28" s="34">
        <f t="shared" si="13"/>
        <v>0</v>
      </c>
      <c r="AU28" s="40"/>
    </row>
    <row r="29" spans="3:47" ht="31.5" customHeight="1" thickBot="1">
      <c r="C29" s="312"/>
      <c r="D29" s="160" t="s">
        <v>30</v>
      </c>
      <c r="E29" s="161"/>
      <c r="F29" s="162"/>
      <c r="G29" s="162"/>
      <c r="H29" s="162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82"/>
      <c r="X29" s="182"/>
      <c r="Y29" s="164">
        <f t="shared" si="16"/>
        <v>0</v>
      </c>
      <c r="Z29" s="98">
        <f t="shared" si="19"/>
        <v>0</v>
      </c>
      <c r="AA29" s="165">
        <f t="shared" si="17"/>
        <v>0</v>
      </c>
      <c r="AB29" s="19">
        <f>+O29+R29+U29+X29+G29+J29</f>
        <v>0</v>
      </c>
      <c r="AC29" s="167">
        <f t="shared" si="13"/>
        <v>0</v>
      </c>
      <c r="AG29" s="261"/>
      <c r="AU29" s="40"/>
    </row>
    <row r="30" spans="3:47" ht="31.5" customHeight="1" thickTop="1" thickBot="1">
      <c r="C30" s="300"/>
      <c r="D30" s="149" t="s">
        <v>25</v>
      </c>
      <c r="E30" s="183">
        <f>IFERROR(E25/E24,0)</f>
        <v>1</v>
      </c>
      <c r="F30" s="184">
        <f t="shared" ref="F30:AB30" si="20">IFERROR(F25/F24,0)</f>
        <v>1</v>
      </c>
      <c r="G30" s="184">
        <f>IFERROR(G25/G24,0)</f>
        <v>0</v>
      </c>
      <c r="H30" s="183">
        <f t="shared" si="20"/>
        <v>1</v>
      </c>
      <c r="I30" s="183">
        <f t="shared" si="20"/>
        <v>1</v>
      </c>
      <c r="J30" s="183">
        <f t="shared" si="20"/>
        <v>0</v>
      </c>
      <c r="K30" s="183">
        <f t="shared" si="20"/>
        <v>0</v>
      </c>
      <c r="L30" s="183">
        <f>IFERROR(L25/L24,0)</f>
        <v>1</v>
      </c>
      <c r="M30" s="184">
        <f>IFERROR(M25/M24,0)</f>
        <v>1</v>
      </c>
      <c r="N30" s="184">
        <f>IFERROR(N25/N24,0)</f>
        <v>1</v>
      </c>
      <c r="O30" s="184">
        <f>IFERROR(O25/O24,0)</f>
        <v>1</v>
      </c>
      <c r="P30" s="184">
        <f>IFERROR(P25/P24,0)</f>
        <v>1</v>
      </c>
      <c r="Q30" s="184">
        <f t="shared" si="20"/>
        <v>1</v>
      </c>
      <c r="R30" s="184">
        <f>IFERROR(R25/R24,0)</f>
        <v>1</v>
      </c>
      <c r="S30" s="184">
        <f t="shared" si="20"/>
        <v>1</v>
      </c>
      <c r="T30" s="184">
        <f>IFERROR(T25/T24,0)</f>
        <v>1</v>
      </c>
      <c r="U30" s="184">
        <f>IFERROR(U25/U24,0)</f>
        <v>1</v>
      </c>
      <c r="V30" s="184">
        <f>IFERROR(V25/V24,0)</f>
        <v>1</v>
      </c>
      <c r="W30" s="184">
        <f>IFERROR(W25/W24,0)</f>
        <v>1</v>
      </c>
      <c r="X30" s="185">
        <f t="shared" ref="X30" si="21">IFERROR(X25/X24,0)</f>
        <v>1</v>
      </c>
      <c r="Y30" s="186">
        <f>IFERROR(Y25/Y24,0)</f>
        <v>1</v>
      </c>
      <c r="Z30" s="172">
        <f t="shared" si="20"/>
        <v>1</v>
      </c>
      <c r="AA30" s="172">
        <f t="shared" si="20"/>
        <v>1</v>
      </c>
      <c r="AB30" s="169">
        <f t="shared" si="20"/>
        <v>1</v>
      </c>
      <c r="AC30" s="150">
        <f>+AC25/AC24</f>
        <v>1</v>
      </c>
      <c r="AU30" s="40"/>
    </row>
    <row r="31" spans="3:47" ht="19.5" customHeight="1">
      <c r="C31" s="41"/>
      <c r="D31" s="41"/>
      <c r="Y31" s="280"/>
      <c r="Z31" s="280"/>
      <c r="AA31" s="280"/>
      <c r="AB31" s="280"/>
      <c r="AU31" s="40"/>
    </row>
    <row r="32" spans="3:47" ht="19.5" customHeight="1">
      <c r="C32" s="41"/>
      <c r="D32" s="41"/>
      <c r="Y32" s="232"/>
      <c r="Z32" s="232"/>
      <c r="AA32" s="232"/>
      <c r="AB32" s="232"/>
      <c r="AU32" s="40"/>
    </row>
    <row r="33" spans="3:47">
      <c r="C33" s="41"/>
      <c r="D33" s="41"/>
      <c r="Y33" s="232"/>
      <c r="Z33" s="232"/>
      <c r="AA33" s="232"/>
      <c r="AB33" s="232"/>
      <c r="AU33" s="40"/>
    </row>
    <row r="34" spans="3:47" ht="29.25" customHeight="1">
      <c r="O34" s="28"/>
      <c r="Y34" s="232"/>
      <c r="Z34" s="232"/>
      <c r="AA34" s="232"/>
      <c r="AB34" s="232"/>
      <c r="AU34" s="40"/>
    </row>
    <row r="35" spans="3:47" ht="21" customHeight="1">
      <c r="Y35" s="232"/>
      <c r="Z35" s="232"/>
      <c r="AA35" s="232"/>
      <c r="AB35" s="232"/>
      <c r="AU35" s="40"/>
    </row>
    <row r="36" spans="3:47" ht="21" customHeight="1">
      <c r="Y36" s="232"/>
      <c r="Z36" s="232"/>
      <c r="AA36" s="232"/>
      <c r="AB36" s="232"/>
      <c r="AU36" s="40"/>
    </row>
    <row r="37" spans="3:47" ht="21" customHeight="1">
      <c r="Y37" s="232"/>
      <c r="Z37" s="232"/>
      <c r="AA37" s="232"/>
      <c r="AB37" s="232"/>
      <c r="AU37" s="40"/>
    </row>
    <row r="38" spans="3:47" ht="21" customHeight="1">
      <c r="Y38" s="232"/>
      <c r="Z38" s="232"/>
      <c r="AA38" s="232"/>
      <c r="AB38" s="232"/>
      <c r="AU38" s="40"/>
    </row>
    <row r="39" spans="3:47" ht="21" customHeight="1">
      <c r="Y39" s="232"/>
      <c r="Z39" s="232"/>
      <c r="AA39" s="232"/>
      <c r="AB39" s="232"/>
    </row>
    <row r="40" spans="3:47" ht="21" customHeight="1">
      <c r="C40" s="41"/>
      <c r="D40" s="41"/>
      <c r="Y40" s="232"/>
      <c r="Z40" s="232"/>
      <c r="AA40" s="232"/>
      <c r="AB40" s="232"/>
    </row>
    <row r="41" spans="3:47" ht="21" customHeight="1">
      <c r="C41" s="41"/>
      <c r="D41" s="41"/>
      <c r="Y41" s="232"/>
      <c r="Z41" s="232"/>
      <c r="AA41" s="232"/>
      <c r="AB41" s="232"/>
    </row>
    <row r="42" spans="3:47" ht="19.5" customHeight="1">
      <c r="C42" s="41"/>
      <c r="D42" s="41"/>
      <c r="Y42" s="232"/>
      <c r="Z42" s="232"/>
      <c r="AA42" s="232"/>
      <c r="AB42" s="232"/>
    </row>
    <row r="43" spans="3:47">
      <c r="C43" s="41"/>
      <c r="D43" s="41"/>
      <c r="Y43" s="232"/>
      <c r="Z43" s="232"/>
      <c r="AA43" s="232"/>
      <c r="AB43" s="232"/>
    </row>
    <row r="44" spans="3:47">
      <c r="C44" s="41"/>
      <c r="D44" s="41"/>
      <c r="Y44" s="232"/>
      <c r="Z44" s="232"/>
      <c r="AA44" s="232"/>
      <c r="AB44" s="232"/>
    </row>
    <row r="45" spans="3:47">
      <c r="C45" s="41"/>
      <c r="D45" s="41"/>
      <c r="Y45" s="232"/>
      <c r="Z45" s="232"/>
      <c r="AA45" s="232"/>
      <c r="AB45" s="232"/>
    </row>
    <row r="46" spans="3:47">
      <c r="C46" s="41"/>
      <c r="D46" s="41"/>
      <c r="Y46" s="232"/>
      <c r="Z46" s="232"/>
      <c r="AA46" s="232"/>
      <c r="AB46" s="232"/>
    </row>
    <row r="47" spans="3:47">
      <c r="C47" s="41"/>
      <c r="D47" s="41"/>
      <c r="Y47" s="232"/>
      <c r="Z47" s="232"/>
      <c r="AA47" s="232"/>
      <c r="AB47" s="232"/>
    </row>
    <row r="48" spans="3:47">
      <c r="C48" s="41"/>
      <c r="D48" s="41"/>
      <c r="Y48" s="232"/>
      <c r="Z48" s="232"/>
      <c r="AA48" s="232"/>
      <c r="AB48" s="232"/>
    </row>
    <row r="49" spans="3:28">
      <c r="C49" s="41"/>
      <c r="D49" s="41"/>
      <c r="Y49" s="232"/>
      <c r="Z49" s="232"/>
      <c r="AA49" s="232"/>
      <c r="AB49" s="232"/>
    </row>
  </sheetData>
  <mergeCells count="38">
    <mergeCell ref="C17:C23"/>
    <mergeCell ref="C24:C30"/>
    <mergeCell ref="Y31:AB31"/>
    <mergeCell ref="H16:J16"/>
    <mergeCell ref="L16:O16"/>
    <mergeCell ref="P16:R16"/>
    <mergeCell ref="S16:U16"/>
    <mergeCell ref="V16:X16"/>
    <mergeCell ref="Y16:AB16"/>
    <mergeCell ref="AC9:AC10"/>
    <mergeCell ref="C11:C16"/>
    <mergeCell ref="E15:G15"/>
    <mergeCell ref="H15:J15"/>
    <mergeCell ref="L15:O15"/>
    <mergeCell ref="P15:R15"/>
    <mergeCell ref="S15:U15"/>
    <mergeCell ref="V15:X15"/>
    <mergeCell ref="Y15:AB15"/>
    <mergeCell ref="E16:G16"/>
    <mergeCell ref="Z7:AB7"/>
    <mergeCell ref="C9:D10"/>
    <mergeCell ref="E9:G9"/>
    <mergeCell ref="H9:J9"/>
    <mergeCell ref="K9:K10"/>
    <mergeCell ref="L9:O9"/>
    <mergeCell ref="P9:R9"/>
    <mergeCell ref="S9:U9"/>
    <mergeCell ref="V9:X9"/>
    <mergeCell ref="Y9:AB9"/>
    <mergeCell ref="C2:R5"/>
    <mergeCell ref="S2:U2"/>
    <mergeCell ref="V2:X2"/>
    <mergeCell ref="S3:U3"/>
    <mergeCell ref="V3:X3"/>
    <mergeCell ref="S4:U4"/>
    <mergeCell ref="V4:X4"/>
    <mergeCell ref="S5:U5"/>
    <mergeCell ref="V5:X5"/>
  </mergeCells>
  <conditionalFormatting sqref="E16:F16">
    <cfRule type="cellIs" dxfId="2" priority="2" operator="greaterThan">
      <formula>#REF!</formula>
    </cfRule>
  </conditionalFormatting>
  <conditionalFormatting sqref="H16">
    <cfRule type="cellIs" dxfId="1" priority="3" operator="greaterThan">
      <formula>#REF!</formula>
    </cfRule>
  </conditionalFormatting>
  <conditionalFormatting sqref="K16:X16">
    <cfRule type="cellIs" dxfId="0" priority="1" operator="greaterThan">
      <formula>#REF!</formula>
    </cfRule>
  </conditionalFormatting>
  <printOptions verticalCentered="1"/>
  <pageMargins left="0" right="0" top="0.5" bottom="0" header="0" footer="0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10.08</vt:lpstr>
      <vt:lpstr>근태종합(02월)</vt:lpstr>
      <vt:lpstr>01.02</vt:lpstr>
      <vt:lpstr>'01.02'!Print_Area</vt:lpstr>
      <vt:lpstr>'10.08'!Print_Area</vt:lpstr>
      <vt:lpstr>'근태종합(02월)'!Print_Area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Nhàn;Nhun Nhun</dc:creator>
  <cp:lastModifiedBy>Admin</cp:lastModifiedBy>
  <cp:lastPrinted>2022-07-28T04:36:27Z</cp:lastPrinted>
  <dcterms:created xsi:type="dcterms:W3CDTF">2018-12-01T09:39:16Z</dcterms:created>
  <dcterms:modified xsi:type="dcterms:W3CDTF">2026-03-03T08:49:07Z</dcterms:modified>
</cp:coreProperties>
</file>