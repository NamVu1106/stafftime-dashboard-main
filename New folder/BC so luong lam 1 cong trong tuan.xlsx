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FD83F4B5-1D89-43CD-A449-464B3E8B56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C" sheetId="1" r:id="rId1"/>
    <sheet name="over view (2)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 l="1"/>
  <c r="I7" i="1" s="1"/>
  <c r="E7" i="1"/>
  <c r="AC27" i="5" l="1"/>
  <c r="AB27" i="5"/>
  <c r="AC24" i="5"/>
  <c r="AB24" i="5"/>
  <c r="AC21" i="5"/>
  <c r="AB21" i="5"/>
  <c r="AC18" i="5"/>
  <c r="AB18" i="5"/>
  <c r="AC15" i="5"/>
  <c r="AB15" i="5"/>
  <c r="AC12" i="5"/>
  <c r="AB12" i="5"/>
  <c r="AC9" i="5"/>
  <c r="AB9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H27" i="5"/>
  <c r="G26" i="5"/>
  <c r="G25" i="5"/>
  <c r="G27" i="5" s="1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H24" i="5"/>
  <c r="G23" i="5"/>
  <c r="G22" i="5"/>
  <c r="G24" i="5" s="1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H21" i="5"/>
  <c r="G20" i="5"/>
  <c r="G19" i="5"/>
  <c r="G21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H18" i="5"/>
  <c r="G17" i="5"/>
  <c r="G16" i="5"/>
  <c r="G18" i="5" s="1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H15" i="5"/>
  <c r="G14" i="5"/>
  <c r="G13" i="5"/>
  <c r="G15" i="5" s="1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H12" i="5"/>
  <c r="G11" i="5"/>
  <c r="G12" i="5"/>
  <c r="G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H9" i="5"/>
  <c r="G8" i="5"/>
  <c r="G7" i="5"/>
  <c r="G9" i="5" s="1"/>
  <c r="J5" i="5"/>
  <c r="L5" i="5" s="1"/>
  <c r="N5" i="5" s="1"/>
  <c r="P5" i="5" s="1"/>
  <c r="R5" i="5" s="1"/>
  <c r="T5" i="5" s="1"/>
  <c r="V5" i="5" s="1"/>
  <c r="X5" i="5" s="1"/>
  <c r="Z5" i="5" s="1"/>
  <c r="AB5" i="5" s="1"/>
  <c r="D7" i="1" l="1"/>
  <c r="F7" i="1" s="1"/>
</calcChain>
</file>

<file path=xl/sharedStrings.xml><?xml version="1.0" encoding="utf-8"?>
<sst xmlns="http://schemas.openxmlformats.org/spreadsheetml/2006/main" count="128" uniqueCount="42">
  <si>
    <t>□ hien trang gioi thieu cong nhan vao c'ty (부서별 소개 사원 입사 현황)</t>
  </si>
  <si>
    <t>2025
Total</t>
  </si>
  <si>
    <t>T8
Total</t>
  </si>
  <si>
    <t>T9
Total</t>
  </si>
  <si>
    <t>Total</t>
  </si>
  <si>
    <t>SX</t>
  </si>
  <si>
    <t>QC</t>
  </si>
  <si>
    <t>EQM</t>
  </si>
  <si>
    <t>SM</t>
  </si>
  <si>
    <t>MM</t>
  </si>
  <si>
    <t>Support</t>
  </si>
  <si>
    <t>Facebook</t>
  </si>
  <si>
    <t>Tu tuyen</t>
  </si>
  <si>
    <t>Noi dung</t>
  </si>
  <si>
    <t>So luong</t>
  </si>
  <si>
    <t>Ghi chu</t>
  </si>
  <si>
    <t xml:space="preserve"> </t>
  </si>
  <si>
    <t>Gioi thieu</t>
  </si>
  <si>
    <t>Anh-QC
Hiếu-EQM</t>
  </si>
  <si>
    <t>Quân-SX</t>
  </si>
  <si>
    <t>Nhâm-SX</t>
  </si>
  <si>
    <t>Lương- SX</t>
  </si>
  <si>
    <t>HM</t>
  </si>
  <si>
    <t>HL Việt Nam</t>
  </si>
  <si>
    <t>CIC</t>
  </si>
  <si>
    <t>ATK</t>
  </si>
  <si>
    <t>NetViet</t>
  </si>
  <si>
    <t>Minh Đức</t>
  </si>
  <si>
    <t>HLM</t>
  </si>
  <si>
    <t>ATM</t>
  </si>
  <si>
    <t>Nhat Minh</t>
  </si>
  <si>
    <t>ABC</t>
  </si>
  <si>
    <t>WW(TT)</t>
  </si>
  <si>
    <t>QTC</t>
  </si>
  <si>
    <t>So luong
 1 cong</t>
  </si>
  <si>
    <t>□ So luong 1 cong của thoi vu  W3 (12.1~17.01)</t>
  </si>
  <si>
    <t>W03 (12.01~17.01)</t>
  </si>
  <si>
    <t>Vendor</t>
  </si>
  <si>
    <t>Nhan luc dang lam viec</t>
  </si>
  <si>
    <t>Ti le (%)</t>
  </si>
  <si>
    <t>Ca ngay</t>
  </si>
  <si>
    <t>Ca 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</si>
</sst>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,##0_ ;[Red]\-#,##0\ "/>
    <numFmt numFmtId="166" formatCode="0.0%"/>
  </numFmts>
  <fonts count="10">
    <font>
      <sz val="11"/>
      <color theme="1"/>
      <name val="Calibri"/>
      <charset val="129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9" fillId="0" borderId="0"/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2" xfId="1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6" xfId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64" fontId="0" fillId="3" borderId="1" xfId="1" applyFont="1" applyFill="1" applyBorder="1">
      <alignment vertical="center"/>
    </xf>
    <xf numFmtId="164" fontId="0" fillId="0" borderId="6" xfId="1" applyFont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65" fontId="6" fillId="0" borderId="15" xfId="1" applyNumberFormat="1" applyFont="1" applyBorder="1" applyAlignment="1">
      <alignment horizontal="center" vertical="center"/>
    </xf>
    <xf numFmtId="166" fontId="6" fillId="0" borderId="17" xfId="1" applyNumberFormat="1" applyFont="1" applyBorder="1" applyAlignment="1">
      <alignment horizontal="center" vertical="center"/>
    </xf>
    <xf numFmtId="166" fontId="6" fillId="0" borderId="18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5" fillId="5" borderId="19" xfId="1" applyNumberFormat="1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5" fontId="6" fillId="0" borderId="23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5" xfId="1" applyNumberFormat="1" applyFont="1" applyBorder="1" applyAlignment="1">
      <alignment horizontal="center" vertical="center"/>
    </xf>
    <xf numFmtId="165" fontId="6" fillId="0" borderId="26" xfId="1" applyNumberFormat="1" applyFont="1" applyBorder="1" applyAlignment="1">
      <alignment horizontal="center" vertical="center"/>
    </xf>
    <xf numFmtId="165" fontId="5" fillId="2" borderId="27" xfId="1" applyNumberFormat="1" applyFont="1" applyFill="1" applyBorder="1" applyAlignment="1">
      <alignment horizontal="center" vertical="center"/>
    </xf>
    <xf numFmtId="165" fontId="5" fillId="2" borderId="28" xfId="1" applyNumberFormat="1" applyFont="1" applyFill="1" applyBorder="1" applyAlignment="1">
      <alignment horizontal="center" vertical="center"/>
    </xf>
    <xf numFmtId="165" fontId="6" fillId="0" borderId="29" xfId="1" applyNumberFormat="1" applyFont="1" applyBorder="1" applyAlignment="1">
      <alignment horizontal="center" vertical="center"/>
    </xf>
    <xf numFmtId="165" fontId="6" fillId="0" borderId="21" xfId="1" applyNumberFormat="1" applyFont="1" applyBorder="1" applyAlignment="1">
      <alignment horizontal="center" vertical="center"/>
    </xf>
    <xf numFmtId="165" fontId="6" fillId="0" borderId="22" xfId="1" applyNumberFormat="1" applyFont="1" applyBorder="1" applyAlignment="1">
      <alignment horizontal="center" vertical="center"/>
    </xf>
    <xf numFmtId="166" fontId="6" fillId="0" borderId="30" xfId="1" applyNumberFormat="1" applyFont="1" applyBorder="1" applyAlignment="1">
      <alignment horizontal="center" vertical="center"/>
    </xf>
    <xf numFmtId="16" fontId="2" fillId="4" borderId="8" xfId="0" quotePrefix="1" applyNumberFormat="1" applyFont="1" applyFill="1" applyBorder="1" applyAlignment="1">
      <alignment horizontal="center" vertical="center" wrapText="1"/>
    </xf>
    <xf numFmtId="16" fontId="2" fillId="4" borderId="31" xfId="0" quotePrefix="1" applyNumberFormat="1" applyFont="1" applyFill="1" applyBorder="1" applyAlignment="1">
      <alignment horizontal="center" vertical="center" wrapText="1"/>
    </xf>
    <xf numFmtId="16" fontId="2" fillId="4" borderId="16" xfId="0" quotePrefix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16" fontId="2" fillId="4" borderId="1" xfId="0" quotePrefix="1" applyNumberFormat="1" applyFont="1" applyFill="1" applyBorder="1" applyAlignment="1">
      <alignment horizontal="center" vertical="center" wrapText="1"/>
    </xf>
    <xf numFmtId="16" fontId="2" fillId="2" borderId="4" xfId="0" applyNumberFormat="1" applyFont="1" applyFill="1" applyBorder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Normal 2" xfId="2" xr:uid="{028DC7F8-A71F-4415-95CB-43D0F6BD05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tabSelected="1" workbookViewId="0">
      <selection activeCell="O16" sqref="O16"/>
    </sheetView>
  </sheetViews>
  <sheetFormatPr defaultColWidth="9" defaultRowHeight="15"/>
  <cols>
    <col min="1" max="1" width="3.5703125" customWidth="1"/>
    <col min="2" max="2" width="8.140625" customWidth="1"/>
    <col min="3" max="3" width="14.7109375" customWidth="1"/>
    <col min="4" max="6" width="11" customWidth="1"/>
    <col min="7" max="8" width="11" style="24" customWidth="1"/>
    <col min="9" max="9" width="11" customWidth="1"/>
    <col min="10" max="10" width="4.42578125" customWidth="1"/>
  </cols>
  <sheetData>
    <row r="1" spans="2:10" ht="9.75" customHeight="1"/>
    <row r="2" spans="2:10" ht="21" customHeight="1">
      <c r="B2" s="1" t="s">
        <v>35</v>
      </c>
    </row>
    <row r="3" spans="2:10" ht="11.45" customHeight="1"/>
    <row r="4" spans="2:10" ht="21.95" customHeight="1">
      <c r="B4" s="40" t="s">
        <v>37</v>
      </c>
      <c r="C4" s="40"/>
      <c r="D4" s="40" t="s">
        <v>36</v>
      </c>
      <c r="E4" s="40"/>
      <c r="F4" s="40"/>
      <c r="G4" s="40"/>
      <c r="H4" s="40"/>
      <c r="I4" s="40"/>
    </row>
    <row r="5" spans="2:10" ht="38.25" customHeight="1">
      <c r="B5" s="40"/>
      <c r="C5" s="40"/>
      <c r="D5" s="44" t="s">
        <v>40</v>
      </c>
      <c r="E5" s="44"/>
      <c r="F5" s="44"/>
      <c r="G5" s="44" t="s">
        <v>41</v>
      </c>
      <c r="H5" s="44"/>
      <c r="I5" s="44"/>
    </row>
    <row r="6" spans="2:10" ht="54.75" customHeight="1" thickBot="1">
      <c r="B6" s="43"/>
      <c r="C6" s="43"/>
      <c r="D6" s="37" t="s">
        <v>38</v>
      </c>
      <c r="E6" s="38" t="s">
        <v>34</v>
      </c>
      <c r="F6" s="39" t="s">
        <v>39</v>
      </c>
      <c r="G6" s="37" t="s">
        <v>38</v>
      </c>
      <c r="H6" s="38" t="s">
        <v>34</v>
      </c>
      <c r="I6" s="39" t="s">
        <v>39</v>
      </c>
    </row>
    <row r="7" spans="2:10" ht="25.5" customHeight="1">
      <c r="B7" s="41" t="s">
        <v>4</v>
      </c>
      <c r="C7" s="42"/>
      <c r="D7" s="31">
        <f>SUM(D8:D19)</f>
        <v>209</v>
      </c>
      <c r="E7" s="32">
        <f>SUM(E8:E19)</f>
        <v>67</v>
      </c>
      <c r="F7" s="25">
        <f>IFERROR(E7/D7*100%,0)</f>
        <v>0.32057416267942584</v>
      </c>
      <c r="G7" s="31">
        <f>SUM(G8:G19)</f>
        <v>270</v>
      </c>
      <c r="H7" s="32">
        <f>SUM(H8:H19)</f>
        <v>89</v>
      </c>
      <c r="I7" s="25">
        <f>IFERROR(H7/G7*100%,0)</f>
        <v>0.32962962962962961</v>
      </c>
      <c r="J7" s="26"/>
    </row>
    <row r="8" spans="2:10" ht="27.95" customHeight="1">
      <c r="B8" s="14">
        <v>1</v>
      </c>
      <c r="C8" s="15" t="s">
        <v>22</v>
      </c>
      <c r="D8" s="29">
        <v>40</v>
      </c>
      <c r="E8" s="30">
        <v>12</v>
      </c>
      <c r="F8" s="22">
        <v>0.3</v>
      </c>
      <c r="G8" s="34">
        <v>65</v>
      </c>
      <c r="H8" s="35">
        <v>15</v>
      </c>
      <c r="I8" s="22">
        <v>0.23076923076923078</v>
      </c>
      <c r="J8" s="26"/>
    </row>
    <row r="9" spans="2:10" ht="27.95" customHeight="1">
      <c r="B9" s="14">
        <v>2</v>
      </c>
      <c r="C9" s="16" t="s">
        <v>23</v>
      </c>
      <c r="D9" s="27">
        <v>30</v>
      </c>
      <c r="E9" s="28">
        <v>0</v>
      </c>
      <c r="F9" s="23">
        <v>0</v>
      </c>
      <c r="G9" s="27">
        <v>38</v>
      </c>
      <c r="H9" s="28">
        <v>11</v>
      </c>
      <c r="I9" s="23">
        <v>0.28947368421052633</v>
      </c>
      <c r="J9" s="26"/>
    </row>
    <row r="10" spans="2:10" ht="27.95" customHeight="1">
      <c r="B10" s="14">
        <v>3</v>
      </c>
      <c r="C10" s="16" t="s">
        <v>24</v>
      </c>
      <c r="D10" s="27">
        <v>9</v>
      </c>
      <c r="E10" s="28">
        <v>0</v>
      </c>
      <c r="F10" s="23">
        <v>0</v>
      </c>
      <c r="G10" s="27">
        <v>21</v>
      </c>
      <c r="H10" s="28">
        <v>4</v>
      </c>
      <c r="I10" s="23">
        <v>0.19047619047619047</v>
      </c>
      <c r="J10" s="26"/>
    </row>
    <row r="11" spans="2:10" ht="27.95" customHeight="1">
      <c r="B11" s="14">
        <v>4</v>
      </c>
      <c r="C11" s="16" t="s">
        <v>25</v>
      </c>
      <c r="D11" s="27">
        <v>21</v>
      </c>
      <c r="E11" s="28">
        <v>11</v>
      </c>
      <c r="F11" s="23">
        <v>0.52380952380952384</v>
      </c>
      <c r="G11" s="27">
        <v>35</v>
      </c>
      <c r="H11" s="28">
        <v>13</v>
      </c>
      <c r="I11" s="23">
        <v>0.37142857142857144</v>
      </c>
      <c r="J11" s="26"/>
    </row>
    <row r="12" spans="2:10" ht="27.95" customHeight="1">
      <c r="B12" s="14">
        <v>5</v>
      </c>
      <c r="C12" s="16" t="s">
        <v>26</v>
      </c>
      <c r="D12" s="27">
        <v>35</v>
      </c>
      <c r="E12" s="28">
        <v>15</v>
      </c>
      <c r="F12" s="23">
        <v>0.42857142857142855</v>
      </c>
      <c r="G12" s="27">
        <v>24</v>
      </c>
      <c r="H12" s="28">
        <v>12</v>
      </c>
      <c r="I12" s="23">
        <v>0.5</v>
      </c>
      <c r="J12" s="26"/>
    </row>
    <row r="13" spans="2:10" ht="27.95" customHeight="1">
      <c r="B13" s="14">
        <v>6</v>
      </c>
      <c r="C13" s="16" t="s">
        <v>27</v>
      </c>
      <c r="D13" s="27">
        <v>5</v>
      </c>
      <c r="E13" s="28">
        <v>1</v>
      </c>
      <c r="F13" s="23">
        <v>0.2</v>
      </c>
      <c r="G13" s="27">
        <v>9</v>
      </c>
      <c r="H13" s="28">
        <v>2</v>
      </c>
      <c r="I13" s="23">
        <v>0.22222222222222221</v>
      </c>
      <c r="J13" s="26"/>
    </row>
    <row r="14" spans="2:10" ht="30.75" customHeight="1">
      <c r="B14" s="14">
        <v>7</v>
      </c>
      <c r="C14" s="17" t="s">
        <v>28</v>
      </c>
      <c r="D14" s="27">
        <v>24</v>
      </c>
      <c r="E14" s="28">
        <v>8</v>
      </c>
      <c r="F14" s="23">
        <v>0.33333333333333331</v>
      </c>
      <c r="G14" s="27">
        <v>14</v>
      </c>
      <c r="H14" s="28">
        <v>5</v>
      </c>
      <c r="I14" s="23">
        <v>0.35714285714285715</v>
      </c>
      <c r="J14" s="26"/>
    </row>
    <row r="15" spans="2:10" ht="30.75" customHeight="1">
      <c r="B15" s="14">
        <v>8</v>
      </c>
      <c r="C15" s="17" t="s">
        <v>29</v>
      </c>
      <c r="D15" s="27">
        <v>6</v>
      </c>
      <c r="E15" s="28">
        <v>3</v>
      </c>
      <c r="F15" s="23">
        <v>0.5</v>
      </c>
      <c r="G15" s="27">
        <v>12</v>
      </c>
      <c r="H15" s="28">
        <v>5</v>
      </c>
      <c r="I15" s="23">
        <v>0.41666666666666669</v>
      </c>
      <c r="J15" s="26"/>
    </row>
    <row r="16" spans="2:10" ht="27.95" customHeight="1">
      <c r="B16" s="14">
        <v>9</v>
      </c>
      <c r="C16" s="18" t="s">
        <v>30</v>
      </c>
      <c r="D16" s="27">
        <v>0</v>
      </c>
      <c r="E16" s="28">
        <v>0</v>
      </c>
      <c r="F16" s="23">
        <v>0</v>
      </c>
      <c r="G16" s="27">
        <v>0</v>
      </c>
      <c r="H16" s="28">
        <v>0</v>
      </c>
      <c r="I16" s="23">
        <v>0</v>
      </c>
      <c r="J16" s="26"/>
    </row>
    <row r="17" spans="2:10" ht="27.95" customHeight="1">
      <c r="B17" s="14">
        <v>10</v>
      </c>
      <c r="C17" s="18" t="s">
        <v>31</v>
      </c>
      <c r="D17" s="27">
        <v>8</v>
      </c>
      <c r="E17" s="28">
        <v>1</v>
      </c>
      <c r="F17" s="23">
        <v>0.125</v>
      </c>
      <c r="G17" s="27">
        <v>10</v>
      </c>
      <c r="H17" s="28">
        <v>3</v>
      </c>
      <c r="I17" s="23">
        <v>0.3</v>
      </c>
      <c r="J17" s="26"/>
    </row>
    <row r="18" spans="2:10" ht="27.95" customHeight="1">
      <c r="B18" s="14">
        <v>11</v>
      </c>
      <c r="C18" s="18" t="s">
        <v>32</v>
      </c>
      <c r="D18" s="27">
        <v>7</v>
      </c>
      <c r="E18" s="28">
        <v>2</v>
      </c>
      <c r="F18" s="23">
        <v>0.2857142857142857</v>
      </c>
      <c r="G18" s="27">
        <v>5</v>
      </c>
      <c r="H18" s="28">
        <v>1</v>
      </c>
      <c r="I18" s="23">
        <v>0.2</v>
      </c>
      <c r="J18" s="26"/>
    </row>
    <row r="19" spans="2:10" ht="27.95" customHeight="1">
      <c r="B19" s="19">
        <v>12</v>
      </c>
      <c r="C19" s="20" t="s">
        <v>33</v>
      </c>
      <c r="D19" s="21">
        <v>24</v>
      </c>
      <c r="E19" s="33">
        <v>14</v>
      </c>
      <c r="F19" s="36">
        <v>0.58333333333333337</v>
      </c>
      <c r="G19" s="21">
        <v>37</v>
      </c>
      <c r="H19" s="33">
        <v>18</v>
      </c>
      <c r="I19" s="36">
        <v>0.48648648648648651</v>
      </c>
      <c r="J19" s="26"/>
    </row>
  </sheetData>
  <mergeCells count="5">
    <mergeCell ref="D4:I4"/>
    <mergeCell ref="B7:C7"/>
    <mergeCell ref="B4:C6"/>
    <mergeCell ref="G5:I5"/>
    <mergeCell ref="D5:F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27"/>
  <sheetViews>
    <sheetView showGridLines="0" topLeftCell="B1" workbookViewId="0">
      <selection activeCell="AA17" sqref="AA17"/>
    </sheetView>
  </sheetViews>
  <sheetFormatPr defaultColWidth="9" defaultRowHeight="15"/>
  <cols>
    <col min="1" max="1" width="3" customWidth="1"/>
    <col min="2" max="3" width="9.42578125" customWidth="1"/>
    <col min="4" max="5" width="9.7109375" customWidth="1"/>
    <col min="6" max="6" width="8.42578125" customWidth="1"/>
    <col min="7" max="7" width="8.140625" customWidth="1"/>
    <col min="8" max="8" width="9.140625" customWidth="1"/>
    <col min="9" max="9" width="9" customWidth="1"/>
    <col min="10" max="12" width="9.28515625" customWidth="1"/>
    <col min="13" max="13" width="10.140625" customWidth="1"/>
    <col min="14" max="26" width="9.28515625" customWidth="1"/>
    <col min="27" max="27" width="10.85546875" customWidth="1"/>
    <col min="28" max="28" width="9.28515625" customWidth="1"/>
    <col min="29" max="29" width="10.85546875" customWidth="1"/>
  </cols>
  <sheetData>
    <row r="2" spans="2:29" ht="21" customHeight="1">
      <c r="B2" s="1" t="s">
        <v>0</v>
      </c>
    </row>
    <row r="3" spans="2:29" ht="11.45" customHeight="1"/>
    <row r="4" spans="2:29" ht="24.75" customHeight="1">
      <c r="B4" s="2"/>
      <c r="C4" s="3"/>
      <c r="D4" s="50" t="s">
        <v>13</v>
      </c>
      <c r="E4" s="51" t="s">
        <v>1</v>
      </c>
      <c r="F4" s="54" t="s">
        <v>2</v>
      </c>
      <c r="G4" s="54" t="s">
        <v>3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2:29" ht="22.5" customHeight="1">
      <c r="B5" s="2"/>
      <c r="C5" s="3"/>
      <c r="D5" s="50"/>
      <c r="E5" s="52"/>
      <c r="F5" s="52"/>
      <c r="G5" s="52"/>
      <c r="H5" s="45">
        <v>45901</v>
      </c>
      <c r="I5" s="46"/>
      <c r="J5" s="45">
        <f>+H5+1</f>
        <v>45902</v>
      </c>
      <c r="K5" s="46"/>
      <c r="L5" s="45">
        <f t="shared" ref="L5" si="0">+J5+1</f>
        <v>45903</v>
      </c>
      <c r="M5" s="46"/>
      <c r="N5" s="45">
        <f>+L5+1</f>
        <v>45904</v>
      </c>
      <c r="O5" s="46"/>
      <c r="P5" s="45">
        <f t="shared" ref="P5" si="1">+N5+1</f>
        <v>45905</v>
      </c>
      <c r="Q5" s="46"/>
      <c r="R5" s="45">
        <f t="shared" ref="R5" si="2">+P5+1</f>
        <v>45906</v>
      </c>
      <c r="S5" s="46"/>
      <c r="T5" s="45">
        <f t="shared" ref="T5" si="3">+R5+1</f>
        <v>45907</v>
      </c>
      <c r="U5" s="46"/>
      <c r="V5" s="45">
        <f t="shared" ref="V5" si="4">+T5+1</f>
        <v>45908</v>
      </c>
      <c r="W5" s="46"/>
      <c r="X5" s="45">
        <f t="shared" ref="X5" si="5">+V5+1</f>
        <v>45909</v>
      </c>
      <c r="Y5" s="46"/>
      <c r="Z5" s="45">
        <f t="shared" ref="Z5" si="6">+X5+1</f>
        <v>45910</v>
      </c>
      <c r="AA5" s="46"/>
      <c r="AB5" s="45">
        <f t="shared" ref="AB5" si="7">+Z5+1</f>
        <v>45911</v>
      </c>
      <c r="AC5" s="46"/>
    </row>
    <row r="6" spans="2:29" ht="36.75" customHeight="1">
      <c r="B6" s="2"/>
      <c r="C6" s="3"/>
      <c r="D6" s="50"/>
      <c r="E6" s="53"/>
      <c r="F6" s="53"/>
      <c r="G6" s="53"/>
      <c r="H6" s="13" t="s">
        <v>14</v>
      </c>
      <c r="I6" s="13" t="s">
        <v>15</v>
      </c>
      <c r="J6" s="13" t="s">
        <v>14</v>
      </c>
      <c r="K6" s="13" t="s">
        <v>15</v>
      </c>
      <c r="L6" s="13" t="s">
        <v>14</v>
      </c>
      <c r="M6" s="13" t="s">
        <v>15</v>
      </c>
      <c r="N6" s="13" t="s">
        <v>14</v>
      </c>
      <c r="O6" s="13" t="s">
        <v>15</v>
      </c>
      <c r="P6" s="13" t="s">
        <v>14</v>
      </c>
      <c r="Q6" s="13" t="s">
        <v>15</v>
      </c>
      <c r="R6" s="13" t="s">
        <v>14</v>
      </c>
      <c r="S6" s="13" t="s">
        <v>15</v>
      </c>
      <c r="T6" s="13" t="s">
        <v>14</v>
      </c>
      <c r="U6" s="13" t="s">
        <v>15</v>
      </c>
      <c r="V6" s="13" t="s">
        <v>14</v>
      </c>
      <c r="W6" s="13" t="s">
        <v>15</v>
      </c>
      <c r="X6" s="13" t="s">
        <v>14</v>
      </c>
      <c r="Y6" s="13" t="s">
        <v>15</v>
      </c>
      <c r="Z6" s="13" t="s">
        <v>14</v>
      </c>
      <c r="AA6" s="13" t="s">
        <v>15</v>
      </c>
      <c r="AB6" s="13" t="s">
        <v>14</v>
      </c>
      <c r="AC6" s="13" t="s">
        <v>15</v>
      </c>
    </row>
    <row r="7" spans="2:29">
      <c r="B7" s="4" t="s">
        <v>4</v>
      </c>
      <c r="C7" s="4"/>
      <c r="D7" s="4" t="s">
        <v>12</v>
      </c>
      <c r="E7" s="4"/>
      <c r="F7" s="4"/>
      <c r="G7" s="5">
        <f>SUM(H7:AA7)</f>
        <v>4</v>
      </c>
      <c r="H7" s="6">
        <v>1</v>
      </c>
      <c r="I7" s="6"/>
      <c r="J7" s="6"/>
      <c r="K7" s="6"/>
      <c r="L7" s="6">
        <v>2</v>
      </c>
      <c r="M7" s="5" t="s">
        <v>11</v>
      </c>
      <c r="N7" s="6"/>
      <c r="O7" s="6"/>
      <c r="P7" s="6"/>
      <c r="Q7" s="6"/>
      <c r="R7" s="6"/>
      <c r="S7" s="6"/>
      <c r="T7" s="6"/>
      <c r="U7" s="6"/>
      <c r="V7" s="6">
        <v>1</v>
      </c>
      <c r="W7" s="5" t="s">
        <v>11</v>
      </c>
      <c r="X7" s="6" t="s">
        <v>16</v>
      </c>
      <c r="Y7" s="6"/>
      <c r="Z7" s="6"/>
      <c r="AA7" s="6"/>
      <c r="AB7" s="6"/>
      <c r="AC7" s="6"/>
    </row>
    <row r="8" spans="2:29" ht="30">
      <c r="B8" s="7"/>
      <c r="C8" s="7"/>
      <c r="D8" s="7" t="s">
        <v>17</v>
      </c>
      <c r="E8" s="7"/>
      <c r="F8" s="7"/>
      <c r="G8" s="8">
        <f>SUM(H8:AA8)</f>
        <v>6</v>
      </c>
      <c r="H8" s="9"/>
      <c r="I8" s="9"/>
      <c r="J8" s="9"/>
      <c r="K8" s="9"/>
      <c r="L8" s="9">
        <v>2</v>
      </c>
      <c r="M8" s="12" t="s">
        <v>18</v>
      </c>
      <c r="N8" s="9"/>
      <c r="O8" s="9"/>
      <c r="P8" s="9"/>
      <c r="Q8" s="9"/>
      <c r="R8" s="9"/>
      <c r="S8" s="9"/>
      <c r="T8" s="9"/>
      <c r="U8" s="9"/>
      <c r="V8" s="9">
        <v>2</v>
      </c>
      <c r="W8" s="9" t="s">
        <v>19</v>
      </c>
      <c r="X8" s="9">
        <v>1</v>
      </c>
      <c r="Y8" s="8" t="s">
        <v>20</v>
      </c>
      <c r="Z8" s="9">
        <v>1</v>
      </c>
      <c r="AA8" s="9" t="s">
        <v>21</v>
      </c>
      <c r="AB8" s="9"/>
      <c r="AC8" s="9"/>
    </row>
    <row r="9" spans="2:29">
      <c r="B9" s="10"/>
      <c r="C9" s="10"/>
      <c r="D9" s="10" t="s">
        <v>4</v>
      </c>
      <c r="E9" s="10"/>
      <c r="F9" s="10"/>
      <c r="G9" s="11">
        <f>SUM(G7:G8)</f>
        <v>10</v>
      </c>
      <c r="H9" s="11">
        <f>SUM(H7:H8)</f>
        <v>1</v>
      </c>
      <c r="I9" s="11"/>
      <c r="J9" s="11">
        <f t="shared" ref="J9:AA9" si="8">SUM(J7:J8)</f>
        <v>0</v>
      </c>
      <c r="K9" s="11">
        <f t="shared" si="8"/>
        <v>0</v>
      </c>
      <c r="L9" s="11">
        <f t="shared" si="8"/>
        <v>4</v>
      </c>
      <c r="M9" s="11">
        <f t="shared" si="8"/>
        <v>0</v>
      </c>
      <c r="N9" s="11">
        <f t="shared" si="8"/>
        <v>0</v>
      </c>
      <c r="O9" s="11">
        <f t="shared" si="8"/>
        <v>0</v>
      </c>
      <c r="P9" s="11">
        <f t="shared" si="8"/>
        <v>0</v>
      </c>
      <c r="Q9" s="11">
        <f t="shared" si="8"/>
        <v>0</v>
      </c>
      <c r="R9" s="11">
        <f t="shared" si="8"/>
        <v>0</v>
      </c>
      <c r="S9" s="11">
        <f t="shared" si="8"/>
        <v>0</v>
      </c>
      <c r="T9" s="11">
        <f t="shared" si="8"/>
        <v>0</v>
      </c>
      <c r="U9" s="11">
        <f t="shared" si="8"/>
        <v>0</v>
      </c>
      <c r="V9" s="11">
        <f t="shared" si="8"/>
        <v>3</v>
      </c>
      <c r="W9" s="11">
        <f t="shared" si="8"/>
        <v>0</v>
      </c>
      <c r="X9" s="11">
        <f t="shared" si="8"/>
        <v>1</v>
      </c>
      <c r="Y9" s="11">
        <f t="shared" si="8"/>
        <v>0</v>
      </c>
      <c r="Z9" s="11">
        <f t="shared" si="8"/>
        <v>1</v>
      </c>
      <c r="AA9" s="11">
        <f t="shared" si="8"/>
        <v>0</v>
      </c>
      <c r="AB9" s="11">
        <f t="shared" ref="AB9:AC9" si="9">SUM(AB7:AB8)</f>
        <v>0</v>
      </c>
      <c r="AC9" s="11">
        <f t="shared" si="9"/>
        <v>0</v>
      </c>
    </row>
    <row r="10" spans="2:29">
      <c r="B10" s="4"/>
      <c r="C10" s="47" t="s">
        <v>5</v>
      </c>
      <c r="D10" s="4" t="s">
        <v>12</v>
      </c>
      <c r="E10" s="4"/>
      <c r="F10" s="4"/>
      <c r="G10" s="5">
        <f t="shared" ref="G10:G11" si="10">SUM(H10:AA10)</f>
        <v>4</v>
      </c>
      <c r="H10" s="6">
        <v>1</v>
      </c>
      <c r="I10" s="6"/>
      <c r="J10" s="6"/>
      <c r="K10" s="6"/>
      <c r="L10" s="6">
        <v>2</v>
      </c>
      <c r="M10" s="5" t="s">
        <v>11</v>
      </c>
      <c r="N10" s="6"/>
      <c r="O10" s="6"/>
      <c r="P10" s="6"/>
      <c r="Q10" s="6"/>
      <c r="R10" s="6"/>
      <c r="S10" s="6"/>
      <c r="T10" s="6"/>
      <c r="U10" s="6"/>
      <c r="V10" s="6">
        <v>1</v>
      </c>
      <c r="W10" s="5" t="s">
        <v>11</v>
      </c>
      <c r="X10" s="6" t="s">
        <v>16</v>
      </c>
      <c r="Y10" s="6"/>
      <c r="Z10" s="6"/>
      <c r="AA10" s="6"/>
      <c r="AB10" s="6"/>
      <c r="AC10" s="6"/>
    </row>
    <row r="11" spans="2:29" ht="30">
      <c r="B11" s="7"/>
      <c r="C11" s="48"/>
      <c r="D11" s="7" t="s">
        <v>17</v>
      </c>
      <c r="E11" s="7"/>
      <c r="F11" s="7"/>
      <c r="G11" s="8">
        <f t="shared" si="10"/>
        <v>6</v>
      </c>
      <c r="H11" s="9"/>
      <c r="I11" s="9"/>
      <c r="J11" s="9"/>
      <c r="K11" s="9"/>
      <c r="L11" s="9">
        <v>2</v>
      </c>
      <c r="M11" s="12" t="s">
        <v>18</v>
      </c>
      <c r="N11" s="9"/>
      <c r="O11" s="9"/>
      <c r="P11" s="9"/>
      <c r="Q11" s="9"/>
      <c r="R11" s="9"/>
      <c r="S11" s="9"/>
      <c r="T11" s="9"/>
      <c r="U11" s="9"/>
      <c r="V11" s="9">
        <v>2</v>
      </c>
      <c r="W11" s="9" t="s">
        <v>19</v>
      </c>
      <c r="X11" s="9">
        <v>1</v>
      </c>
      <c r="Y11" s="8" t="s">
        <v>20</v>
      </c>
      <c r="Z11" s="9">
        <v>1</v>
      </c>
      <c r="AA11" s="9" t="s">
        <v>21</v>
      </c>
      <c r="AB11" s="9"/>
      <c r="AC11" s="9"/>
    </row>
    <row r="12" spans="2:29">
      <c r="B12" s="10"/>
      <c r="C12" s="49"/>
      <c r="D12" s="10" t="s">
        <v>4</v>
      </c>
      <c r="E12" s="10"/>
      <c r="F12" s="10"/>
      <c r="G12" s="11">
        <f t="shared" ref="G12:H12" si="11">SUM(G10:G11)</f>
        <v>10</v>
      </c>
      <c r="H12" s="11">
        <f t="shared" si="11"/>
        <v>1</v>
      </c>
      <c r="I12" s="11"/>
      <c r="J12" s="11">
        <f t="shared" ref="J12:AA12" si="12">SUM(J10:J11)</f>
        <v>0</v>
      </c>
      <c r="K12" s="11">
        <f t="shared" si="12"/>
        <v>0</v>
      </c>
      <c r="L12" s="11">
        <f t="shared" si="12"/>
        <v>4</v>
      </c>
      <c r="M12" s="11">
        <f t="shared" si="12"/>
        <v>0</v>
      </c>
      <c r="N12" s="11">
        <f t="shared" si="12"/>
        <v>0</v>
      </c>
      <c r="O12" s="11">
        <f t="shared" si="12"/>
        <v>0</v>
      </c>
      <c r="P12" s="11">
        <f t="shared" si="12"/>
        <v>0</v>
      </c>
      <c r="Q12" s="11">
        <f t="shared" si="12"/>
        <v>0</v>
      </c>
      <c r="R12" s="11">
        <f t="shared" si="12"/>
        <v>0</v>
      </c>
      <c r="S12" s="11">
        <f t="shared" si="12"/>
        <v>0</v>
      </c>
      <c r="T12" s="11">
        <f t="shared" si="12"/>
        <v>0</v>
      </c>
      <c r="U12" s="11">
        <f t="shared" si="12"/>
        <v>0</v>
      </c>
      <c r="V12" s="11">
        <f t="shared" si="12"/>
        <v>3</v>
      </c>
      <c r="W12" s="11">
        <f t="shared" si="12"/>
        <v>0</v>
      </c>
      <c r="X12" s="11">
        <f t="shared" si="12"/>
        <v>1</v>
      </c>
      <c r="Y12" s="11">
        <f t="shared" si="12"/>
        <v>0</v>
      </c>
      <c r="Z12" s="11">
        <f t="shared" si="12"/>
        <v>1</v>
      </c>
      <c r="AA12" s="11">
        <f t="shared" si="12"/>
        <v>0</v>
      </c>
      <c r="AB12" s="11">
        <f t="shared" ref="AB12:AC12" si="13">SUM(AB10:AB11)</f>
        <v>0</v>
      </c>
      <c r="AC12" s="11">
        <f t="shared" si="13"/>
        <v>0</v>
      </c>
    </row>
    <row r="13" spans="2:29">
      <c r="B13" s="4"/>
      <c r="C13" s="47" t="s">
        <v>6</v>
      </c>
      <c r="D13" s="4" t="s">
        <v>12</v>
      </c>
      <c r="E13" s="4"/>
      <c r="F13" s="4"/>
      <c r="G13" s="5">
        <f t="shared" ref="G13:G14" si="14">SUM(H13:AA13)</f>
        <v>4</v>
      </c>
      <c r="H13" s="6">
        <v>1</v>
      </c>
      <c r="I13" s="6"/>
      <c r="J13" s="6"/>
      <c r="K13" s="6"/>
      <c r="L13" s="6">
        <v>2</v>
      </c>
      <c r="M13" s="5" t="s">
        <v>11</v>
      </c>
      <c r="N13" s="6"/>
      <c r="O13" s="6"/>
      <c r="P13" s="6"/>
      <c r="Q13" s="6"/>
      <c r="R13" s="6"/>
      <c r="S13" s="6"/>
      <c r="T13" s="6"/>
      <c r="U13" s="6"/>
      <c r="V13" s="6">
        <v>1</v>
      </c>
      <c r="W13" s="5" t="s">
        <v>11</v>
      </c>
      <c r="X13" s="6" t="s">
        <v>16</v>
      </c>
      <c r="Y13" s="6"/>
      <c r="Z13" s="6"/>
      <c r="AA13" s="6"/>
      <c r="AB13" s="6"/>
      <c r="AC13" s="6"/>
    </row>
    <row r="14" spans="2:29" ht="30">
      <c r="B14" s="7"/>
      <c r="C14" s="48"/>
      <c r="D14" s="7" t="s">
        <v>17</v>
      </c>
      <c r="E14" s="7"/>
      <c r="F14" s="7"/>
      <c r="G14" s="8">
        <f t="shared" si="14"/>
        <v>6</v>
      </c>
      <c r="H14" s="9"/>
      <c r="I14" s="9"/>
      <c r="J14" s="9"/>
      <c r="K14" s="9"/>
      <c r="L14" s="9">
        <v>2</v>
      </c>
      <c r="M14" s="12" t="s">
        <v>18</v>
      </c>
      <c r="N14" s="9"/>
      <c r="O14" s="9"/>
      <c r="P14" s="9"/>
      <c r="Q14" s="9"/>
      <c r="R14" s="9"/>
      <c r="S14" s="9"/>
      <c r="T14" s="9"/>
      <c r="U14" s="9"/>
      <c r="V14" s="9">
        <v>2</v>
      </c>
      <c r="W14" s="9" t="s">
        <v>19</v>
      </c>
      <c r="X14" s="9">
        <v>1</v>
      </c>
      <c r="Y14" s="8" t="s">
        <v>20</v>
      </c>
      <c r="Z14" s="9">
        <v>1</v>
      </c>
      <c r="AA14" s="9" t="s">
        <v>21</v>
      </c>
      <c r="AB14" s="9"/>
      <c r="AC14" s="9"/>
    </row>
    <row r="15" spans="2:29">
      <c r="B15" s="10"/>
      <c r="C15" s="49"/>
      <c r="D15" s="10" t="s">
        <v>4</v>
      </c>
      <c r="E15" s="10"/>
      <c r="F15" s="10"/>
      <c r="G15" s="11">
        <f t="shared" ref="G15:H15" si="15">SUM(G13:G14)</f>
        <v>10</v>
      </c>
      <c r="H15" s="11">
        <f t="shared" si="15"/>
        <v>1</v>
      </c>
      <c r="I15" s="11"/>
      <c r="J15" s="11">
        <f t="shared" ref="J15:AA15" si="16">SUM(J13:J14)</f>
        <v>0</v>
      </c>
      <c r="K15" s="11">
        <f t="shared" si="16"/>
        <v>0</v>
      </c>
      <c r="L15" s="11">
        <f t="shared" si="16"/>
        <v>4</v>
      </c>
      <c r="M15" s="11">
        <f t="shared" si="16"/>
        <v>0</v>
      </c>
      <c r="N15" s="11">
        <f t="shared" si="16"/>
        <v>0</v>
      </c>
      <c r="O15" s="11">
        <f t="shared" si="16"/>
        <v>0</v>
      </c>
      <c r="P15" s="11">
        <f t="shared" si="16"/>
        <v>0</v>
      </c>
      <c r="Q15" s="11">
        <f t="shared" si="16"/>
        <v>0</v>
      </c>
      <c r="R15" s="11">
        <f t="shared" si="16"/>
        <v>0</v>
      </c>
      <c r="S15" s="11">
        <f t="shared" si="16"/>
        <v>0</v>
      </c>
      <c r="T15" s="11">
        <f t="shared" si="16"/>
        <v>0</v>
      </c>
      <c r="U15" s="11">
        <f t="shared" si="16"/>
        <v>0</v>
      </c>
      <c r="V15" s="11">
        <f t="shared" si="16"/>
        <v>3</v>
      </c>
      <c r="W15" s="11">
        <f t="shared" si="16"/>
        <v>0</v>
      </c>
      <c r="X15" s="11">
        <f t="shared" si="16"/>
        <v>1</v>
      </c>
      <c r="Y15" s="11">
        <f t="shared" si="16"/>
        <v>0</v>
      </c>
      <c r="Z15" s="11">
        <f t="shared" si="16"/>
        <v>1</v>
      </c>
      <c r="AA15" s="11">
        <f t="shared" si="16"/>
        <v>0</v>
      </c>
      <c r="AB15" s="11">
        <f t="shared" ref="AB15:AC15" si="17">SUM(AB13:AB14)</f>
        <v>0</v>
      </c>
      <c r="AC15" s="11">
        <f t="shared" si="17"/>
        <v>0</v>
      </c>
    </row>
    <row r="16" spans="2:29">
      <c r="B16" s="4"/>
      <c r="C16" s="47" t="s">
        <v>7</v>
      </c>
      <c r="D16" s="4" t="s">
        <v>12</v>
      </c>
      <c r="E16" s="4"/>
      <c r="F16" s="4"/>
      <c r="G16" s="5">
        <f t="shared" ref="G16:G17" si="18">SUM(H16:AA16)</f>
        <v>4</v>
      </c>
      <c r="H16" s="6">
        <v>1</v>
      </c>
      <c r="I16" s="6"/>
      <c r="J16" s="6"/>
      <c r="K16" s="6"/>
      <c r="L16" s="6">
        <v>2</v>
      </c>
      <c r="M16" s="5" t="s">
        <v>11</v>
      </c>
      <c r="N16" s="6"/>
      <c r="O16" s="6"/>
      <c r="P16" s="6"/>
      <c r="Q16" s="6"/>
      <c r="R16" s="6"/>
      <c r="S16" s="6"/>
      <c r="T16" s="6"/>
      <c r="U16" s="6"/>
      <c r="V16" s="6">
        <v>1</v>
      </c>
      <c r="W16" s="5" t="s">
        <v>11</v>
      </c>
      <c r="X16" s="6" t="s">
        <v>16</v>
      </c>
      <c r="Y16" s="6"/>
      <c r="Z16" s="6"/>
      <c r="AA16" s="6"/>
      <c r="AB16" s="6"/>
      <c r="AC16" s="6"/>
    </row>
    <row r="17" spans="2:29" ht="30">
      <c r="B17" s="7"/>
      <c r="C17" s="48"/>
      <c r="D17" s="7" t="s">
        <v>17</v>
      </c>
      <c r="E17" s="7"/>
      <c r="F17" s="7"/>
      <c r="G17" s="8">
        <f t="shared" si="18"/>
        <v>6</v>
      </c>
      <c r="H17" s="9"/>
      <c r="I17" s="9"/>
      <c r="J17" s="9"/>
      <c r="K17" s="9"/>
      <c r="L17" s="9">
        <v>2</v>
      </c>
      <c r="M17" s="12" t="s">
        <v>18</v>
      </c>
      <c r="N17" s="9"/>
      <c r="O17" s="9"/>
      <c r="P17" s="9"/>
      <c r="Q17" s="9"/>
      <c r="R17" s="9"/>
      <c r="S17" s="9"/>
      <c r="T17" s="9"/>
      <c r="U17" s="9"/>
      <c r="V17" s="9">
        <v>2</v>
      </c>
      <c r="W17" s="9" t="s">
        <v>19</v>
      </c>
      <c r="X17" s="9">
        <v>1</v>
      </c>
      <c r="Y17" s="8" t="s">
        <v>20</v>
      </c>
      <c r="Z17" s="9">
        <v>1</v>
      </c>
      <c r="AA17" s="9" t="s">
        <v>21</v>
      </c>
      <c r="AB17" s="9"/>
      <c r="AC17" s="9"/>
    </row>
    <row r="18" spans="2:29">
      <c r="B18" s="10"/>
      <c r="C18" s="49"/>
      <c r="D18" s="10" t="s">
        <v>4</v>
      </c>
      <c r="E18" s="10"/>
      <c r="F18" s="10"/>
      <c r="G18" s="11">
        <f t="shared" ref="G18:H18" si="19">SUM(G16:G17)</f>
        <v>10</v>
      </c>
      <c r="H18" s="11">
        <f t="shared" si="19"/>
        <v>1</v>
      </c>
      <c r="I18" s="11"/>
      <c r="J18" s="11">
        <f t="shared" ref="J18:AA18" si="20">SUM(J16:J17)</f>
        <v>0</v>
      </c>
      <c r="K18" s="11">
        <f t="shared" si="20"/>
        <v>0</v>
      </c>
      <c r="L18" s="11">
        <f t="shared" si="20"/>
        <v>4</v>
      </c>
      <c r="M18" s="11">
        <f t="shared" si="20"/>
        <v>0</v>
      </c>
      <c r="N18" s="11">
        <f t="shared" si="20"/>
        <v>0</v>
      </c>
      <c r="O18" s="11">
        <f t="shared" si="20"/>
        <v>0</v>
      </c>
      <c r="P18" s="11">
        <f t="shared" si="20"/>
        <v>0</v>
      </c>
      <c r="Q18" s="11">
        <f t="shared" si="20"/>
        <v>0</v>
      </c>
      <c r="R18" s="11">
        <f t="shared" si="20"/>
        <v>0</v>
      </c>
      <c r="S18" s="11">
        <f t="shared" si="20"/>
        <v>0</v>
      </c>
      <c r="T18" s="11">
        <f t="shared" si="20"/>
        <v>0</v>
      </c>
      <c r="U18" s="11">
        <f t="shared" si="20"/>
        <v>0</v>
      </c>
      <c r="V18" s="11">
        <f t="shared" si="20"/>
        <v>3</v>
      </c>
      <c r="W18" s="11">
        <f t="shared" si="20"/>
        <v>0</v>
      </c>
      <c r="X18" s="11">
        <f t="shared" si="20"/>
        <v>1</v>
      </c>
      <c r="Y18" s="11">
        <f t="shared" si="20"/>
        <v>0</v>
      </c>
      <c r="Z18" s="11">
        <f t="shared" si="20"/>
        <v>1</v>
      </c>
      <c r="AA18" s="11">
        <f t="shared" si="20"/>
        <v>0</v>
      </c>
      <c r="AB18" s="11">
        <f t="shared" ref="AB18:AC18" si="21">SUM(AB16:AB17)</f>
        <v>0</v>
      </c>
      <c r="AC18" s="11">
        <f t="shared" si="21"/>
        <v>0</v>
      </c>
    </row>
    <row r="19" spans="2:29">
      <c r="B19" s="4"/>
      <c r="C19" s="47" t="s">
        <v>8</v>
      </c>
      <c r="D19" s="4" t="s">
        <v>12</v>
      </c>
      <c r="E19" s="4"/>
      <c r="F19" s="4"/>
      <c r="G19" s="5">
        <f t="shared" ref="G19:G20" si="22">SUM(H19:AA19)</f>
        <v>4</v>
      </c>
      <c r="H19" s="6">
        <v>1</v>
      </c>
      <c r="I19" s="6"/>
      <c r="J19" s="6"/>
      <c r="K19" s="6"/>
      <c r="L19" s="6">
        <v>2</v>
      </c>
      <c r="M19" s="5" t="s">
        <v>11</v>
      </c>
      <c r="N19" s="6"/>
      <c r="O19" s="6"/>
      <c r="P19" s="6"/>
      <c r="Q19" s="6"/>
      <c r="R19" s="6"/>
      <c r="S19" s="6"/>
      <c r="T19" s="6"/>
      <c r="U19" s="6"/>
      <c r="V19" s="6">
        <v>1</v>
      </c>
      <c r="W19" s="5" t="s">
        <v>11</v>
      </c>
      <c r="X19" s="6" t="s">
        <v>16</v>
      </c>
      <c r="Y19" s="6"/>
      <c r="Z19" s="6"/>
      <c r="AA19" s="6"/>
      <c r="AB19" s="6"/>
      <c r="AC19" s="6"/>
    </row>
    <row r="20" spans="2:29" ht="30">
      <c r="B20" s="7"/>
      <c r="C20" s="48"/>
      <c r="D20" s="7" t="s">
        <v>17</v>
      </c>
      <c r="E20" s="7"/>
      <c r="F20" s="7"/>
      <c r="G20" s="8">
        <f t="shared" si="22"/>
        <v>6</v>
      </c>
      <c r="H20" s="9"/>
      <c r="I20" s="9"/>
      <c r="J20" s="9"/>
      <c r="K20" s="9"/>
      <c r="L20" s="9">
        <v>2</v>
      </c>
      <c r="M20" s="12" t="s">
        <v>18</v>
      </c>
      <c r="N20" s="9"/>
      <c r="O20" s="9"/>
      <c r="P20" s="9"/>
      <c r="Q20" s="9"/>
      <c r="R20" s="9"/>
      <c r="S20" s="9"/>
      <c r="T20" s="9"/>
      <c r="U20" s="9"/>
      <c r="V20" s="9">
        <v>2</v>
      </c>
      <c r="W20" s="9" t="s">
        <v>19</v>
      </c>
      <c r="X20" s="9">
        <v>1</v>
      </c>
      <c r="Y20" s="8" t="s">
        <v>20</v>
      </c>
      <c r="Z20" s="9">
        <v>1</v>
      </c>
      <c r="AA20" s="9" t="s">
        <v>21</v>
      </c>
      <c r="AB20" s="9"/>
      <c r="AC20" s="9"/>
    </row>
    <row r="21" spans="2:29">
      <c r="B21" s="10"/>
      <c r="C21" s="49"/>
      <c r="D21" s="10" t="s">
        <v>4</v>
      </c>
      <c r="E21" s="10"/>
      <c r="F21" s="10"/>
      <c r="G21" s="11">
        <f t="shared" ref="G21:H21" si="23">SUM(G19:G20)</f>
        <v>10</v>
      </c>
      <c r="H21" s="11">
        <f t="shared" si="23"/>
        <v>1</v>
      </c>
      <c r="I21" s="11"/>
      <c r="J21" s="11">
        <f t="shared" ref="J21:AA21" si="24">SUM(J19:J20)</f>
        <v>0</v>
      </c>
      <c r="K21" s="11">
        <f t="shared" si="24"/>
        <v>0</v>
      </c>
      <c r="L21" s="11">
        <f t="shared" si="24"/>
        <v>4</v>
      </c>
      <c r="M21" s="11">
        <f t="shared" si="24"/>
        <v>0</v>
      </c>
      <c r="N21" s="11">
        <f t="shared" si="24"/>
        <v>0</v>
      </c>
      <c r="O21" s="11">
        <f t="shared" si="24"/>
        <v>0</v>
      </c>
      <c r="P21" s="11">
        <f t="shared" si="24"/>
        <v>0</v>
      </c>
      <c r="Q21" s="11">
        <f t="shared" si="24"/>
        <v>0</v>
      </c>
      <c r="R21" s="11">
        <f t="shared" si="24"/>
        <v>0</v>
      </c>
      <c r="S21" s="11">
        <f t="shared" si="24"/>
        <v>0</v>
      </c>
      <c r="T21" s="11">
        <f t="shared" si="24"/>
        <v>0</v>
      </c>
      <c r="U21" s="11">
        <f t="shared" si="24"/>
        <v>0</v>
      </c>
      <c r="V21" s="11">
        <f t="shared" si="24"/>
        <v>3</v>
      </c>
      <c r="W21" s="11">
        <f t="shared" si="24"/>
        <v>0</v>
      </c>
      <c r="X21" s="11">
        <f t="shared" si="24"/>
        <v>1</v>
      </c>
      <c r="Y21" s="11">
        <f t="shared" si="24"/>
        <v>0</v>
      </c>
      <c r="Z21" s="11">
        <f t="shared" si="24"/>
        <v>1</v>
      </c>
      <c r="AA21" s="11">
        <f t="shared" si="24"/>
        <v>0</v>
      </c>
      <c r="AB21" s="11">
        <f t="shared" ref="AB21:AC21" si="25">SUM(AB19:AB20)</f>
        <v>0</v>
      </c>
      <c r="AC21" s="11">
        <f t="shared" si="25"/>
        <v>0</v>
      </c>
    </row>
    <row r="22" spans="2:29">
      <c r="B22" s="4"/>
      <c r="C22" s="47" t="s">
        <v>9</v>
      </c>
      <c r="D22" s="4" t="s">
        <v>12</v>
      </c>
      <c r="E22" s="4"/>
      <c r="F22" s="4"/>
      <c r="G22" s="5">
        <f t="shared" ref="G22:G23" si="26">SUM(H22:AA22)</f>
        <v>4</v>
      </c>
      <c r="H22" s="6">
        <v>1</v>
      </c>
      <c r="I22" s="6"/>
      <c r="J22" s="6"/>
      <c r="K22" s="6"/>
      <c r="L22" s="6">
        <v>2</v>
      </c>
      <c r="M22" s="5" t="s">
        <v>11</v>
      </c>
      <c r="N22" s="6"/>
      <c r="O22" s="6"/>
      <c r="P22" s="6"/>
      <c r="Q22" s="6"/>
      <c r="R22" s="6"/>
      <c r="S22" s="6"/>
      <c r="T22" s="6"/>
      <c r="U22" s="6"/>
      <c r="V22" s="6">
        <v>1</v>
      </c>
      <c r="W22" s="5" t="s">
        <v>11</v>
      </c>
      <c r="X22" s="6" t="s">
        <v>16</v>
      </c>
      <c r="Y22" s="6"/>
      <c r="Z22" s="6"/>
      <c r="AA22" s="6"/>
      <c r="AB22" s="6"/>
      <c r="AC22" s="6"/>
    </row>
    <row r="23" spans="2:29" ht="30">
      <c r="B23" s="7"/>
      <c r="C23" s="48"/>
      <c r="D23" s="7" t="s">
        <v>17</v>
      </c>
      <c r="E23" s="7"/>
      <c r="F23" s="7"/>
      <c r="G23" s="8">
        <f t="shared" si="26"/>
        <v>6</v>
      </c>
      <c r="H23" s="9"/>
      <c r="I23" s="9"/>
      <c r="J23" s="9"/>
      <c r="K23" s="9"/>
      <c r="L23" s="9">
        <v>2</v>
      </c>
      <c r="M23" s="12" t="s">
        <v>18</v>
      </c>
      <c r="N23" s="9"/>
      <c r="O23" s="9"/>
      <c r="P23" s="9"/>
      <c r="Q23" s="9"/>
      <c r="R23" s="9"/>
      <c r="S23" s="9"/>
      <c r="T23" s="9"/>
      <c r="U23" s="9"/>
      <c r="V23" s="9">
        <v>2</v>
      </c>
      <c r="W23" s="9" t="s">
        <v>19</v>
      </c>
      <c r="X23" s="9">
        <v>1</v>
      </c>
      <c r="Y23" s="8" t="s">
        <v>20</v>
      </c>
      <c r="Z23" s="9">
        <v>1</v>
      </c>
      <c r="AA23" s="9" t="s">
        <v>21</v>
      </c>
      <c r="AB23" s="9"/>
      <c r="AC23" s="9"/>
    </row>
    <row r="24" spans="2:29">
      <c r="B24" s="10"/>
      <c r="C24" s="49"/>
      <c r="D24" s="10" t="s">
        <v>4</v>
      </c>
      <c r="E24" s="10"/>
      <c r="F24" s="10"/>
      <c r="G24" s="11">
        <f t="shared" ref="G24:H24" si="27">SUM(G22:G23)</f>
        <v>10</v>
      </c>
      <c r="H24" s="11">
        <f t="shared" si="27"/>
        <v>1</v>
      </c>
      <c r="I24" s="11"/>
      <c r="J24" s="11">
        <f t="shared" ref="J24:AA24" si="28">SUM(J22:J23)</f>
        <v>0</v>
      </c>
      <c r="K24" s="11">
        <f t="shared" si="28"/>
        <v>0</v>
      </c>
      <c r="L24" s="11">
        <f t="shared" si="28"/>
        <v>4</v>
      </c>
      <c r="M24" s="11">
        <f t="shared" si="28"/>
        <v>0</v>
      </c>
      <c r="N24" s="11">
        <f t="shared" si="28"/>
        <v>0</v>
      </c>
      <c r="O24" s="11">
        <f t="shared" si="28"/>
        <v>0</v>
      </c>
      <c r="P24" s="11">
        <f t="shared" si="28"/>
        <v>0</v>
      </c>
      <c r="Q24" s="11">
        <f t="shared" si="28"/>
        <v>0</v>
      </c>
      <c r="R24" s="11">
        <f t="shared" si="28"/>
        <v>0</v>
      </c>
      <c r="S24" s="11">
        <f t="shared" si="28"/>
        <v>0</v>
      </c>
      <c r="T24" s="11">
        <f t="shared" si="28"/>
        <v>0</v>
      </c>
      <c r="U24" s="11">
        <f t="shared" si="28"/>
        <v>0</v>
      </c>
      <c r="V24" s="11">
        <f t="shared" si="28"/>
        <v>3</v>
      </c>
      <c r="W24" s="11">
        <f t="shared" si="28"/>
        <v>0</v>
      </c>
      <c r="X24" s="11">
        <f t="shared" si="28"/>
        <v>1</v>
      </c>
      <c r="Y24" s="11">
        <f t="shared" si="28"/>
        <v>0</v>
      </c>
      <c r="Z24" s="11">
        <f t="shared" si="28"/>
        <v>1</v>
      </c>
      <c r="AA24" s="11">
        <f t="shared" si="28"/>
        <v>0</v>
      </c>
      <c r="AB24" s="11">
        <f t="shared" ref="AB24:AC24" si="29">SUM(AB22:AB23)</f>
        <v>0</v>
      </c>
      <c r="AC24" s="11">
        <f t="shared" si="29"/>
        <v>0</v>
      </c>
    </row>
    <row r="25" spans="2:29">
      <c r="B25" s="4"/>
      <c r="C25" s="47" t="s">
        <v>10</v>
      </c>
      <c r="D25" s="4" t="s">
        <v>12</v>
      </c>
      <c r="E25" s="4"/>
      <c r="F25" s="4"/>
      <c r="G25" s="5">
        <f t="shared" ref="G25:G26" si="30">SUM(H25:AA25)</f>
        <v>4</v>
      </c>
      <c r="H25" s="6">
        <v>1</v>
      </c>
      <c r="I25" s="6"/>
      <c r="J25" s="6"/>
      <c r="K25" s="6"/>
      <c r="L25" s="6">
        <v>2</v>
      </c>
      <c r="M25" s="5" t="s">
        <v>11</v>
      </c>
      <c r="N25" s="6"/>
      <c r="O25" s="6"/>
      <c r="P25" s="6"/>
      <c r="Q25" s="6"/>
      <c r="R25" s="6"/>
      <c r="S25" s="6"/>
      <c r="T25" s="6"/>
      <c r="U25" s="6"/>
      <c r="V25" s="6">
        <v>1</v>
      </c>
      <c r="W25" s="5" t="s">
        <v>11</v>
      </c>
      <c r="X25" s="6" t="s">
        <v>16</v>
      </c>
      <c r="Y25" s="6"/>
      <c r="Z25" s="6"/>
      <c r="AA25" s="6"/>
      <c r="AB25" s="6"/>
      <c r="AC25" s="6"/>
    </row>
    <row r="26" spans="2:29" ht="30">
      <c r="B26" s="7"/>
      <c r="C26" s="48"/>
      <c r="D26" s="7" t="s">
        <v>17</v>
      </c>
      <c r="E26" s="7"/>
      <c r="F26" s="7"/>
      <c r="G26" s="8">
        <f t="shared" si="30"/>
        <v>6</v>
      </c>
      <c r="H26" s="9"/>
      <c r="I26" s="9"/>
      <c r="J26" s="9"/>
      <c r="K26" s="9"/>
      <c r="L26" s="9">
        <v>2</v>
      </c>
      <c r="M26" s="12" t="s">
        <v>18</v>
      </c>
      <c r="N26" s="9"/>
      <c r="O26" s="9"/>
      <c r="P26" s="9"/>
      <c r="Q26" s="9"/>
      <c r="R26" s="9"/>
      <c r="S26" s="9"/>
      <c r="T26" s="9"/>
      <c r="U26" s="9"/>
      <c r="V26" s="9">
        <v>2</v>
      </c>
      <c r="W26" s="9" t="s">
        <v>19</v>
      </c>
      <c r="X26" s="9">
        <v>1</v>
      </c>
      <c r="Y26" s="8" t="s">
        <v>20</v>
      </c>
      <c r="Z26" s="9">
        <v>1</v>
      </c>
      <c r="AA26" s="9" t="s">
        <v>21</v>
      </c>
      <c r="AB26" s="9"/>
      <c r="AC26" s="9"/>
    </row>
    <row r="27" spans="2:29">
      <c r="B27" s="10"/>
      <c r="C27" s="49"/>
      <c r="D27" s="10" t="s">
        <v>4</v>
      </c>
      <c r="E27" s="10"/>
      <c r="F27" s="10"/>
      <c r="G27" s="11">
        <f t="shared" ref="G27:H27" si="31">SUM(G25:G26)</f>
        <v>10</v>
      </c>
      <c r="H27" s="11">
        <f t="shared" si="31"/>
        <v>1</v>
      </c>
      <c r="I27" s="11"/>
      <c r="J27" s="11">
        <f t="shared" ref="J27:AA27" si="32">SUM(J25:J26)</f>
        <v>0</v>
      </c>
      <c r="K27" s="11">
        <f t="shared" si="32"/>
        <v>0</v>
      </c>
      <c r="L27" s="11">
        <f t="shared" si="32"/>
        <v>4</v>
      </c>
      <c r="M27" s="11">
        <f t="shared" si="32"/>
        <v>0</v>
      </c>
      <c r="N27" s="11">
        <f t="shared" si="32"/>
        <v>0</v>
      </c>
      <c r="O27" s="11">
        <f t="shared" si="32"/>
        <v>0</v>
      </c>
      <c r="P27" s="11">
        <f t="shared" si="32"/>
        <v>0</v>
      </c>
      <c r="Q27" s="11">
        <f t="shared" si="32"/>
        <v>0</v>
      </c>
      <c r="R27" s="11">
        <f t="shared" si="32"/>
        <v>0</v>
      </c>
      <c r="S27" s="11">
        <f t="shared" si="32"/>
        <v>0</v>
      </c>
      <c r="T27" s="11">
        <f t="shared" si="32"/>
        <v>0</v>
      </c>
      <c r="U27" s="11">
        <f t="shared" si="32"/>
        <v>0</v>
      </c>
      <c r="V27" s="11">
        <f t="shared" si="32"/>
        <v>3</v>
      </c>
      <c r="W27" s="11">
        <f t="shared" si="32"/>
        <v>0</v>
      </c>
      <c r="X27" s="11">
        <f t="shared" si="32"/>
        <v>1</v>
      </c>
      <c r="Y27" s="11">
        <f t="shared" si="32"/>
        <v>0</v>
      </c>
      <c r="Z27" s="11">
        <f t="shared" si="32"/>
        <v>1</v>
      </c>
      <c r="AA27" s="11">
        <f t="shared" si="32"/>
        <v>0</v>
      </c>
      <c r="AB27" s="11">
        <f t="shared" ref="AB27:AC27" si="33">SUM(AB25:AB26)</f>
        <v>0</v>
      </c>
      <c r="AC27" s="11">
        <f t="shared" si="33"/>
        <v>0</v>
      </c>
    </row>
  </sheetData>
  <mergeCells count="22">
    <mergeCell ref="Z5:AA5"/>
    <mergeCell ref="P5:Q5"/>
    <mergeCell ref="R5:S5"/>
    <mergeCell ref="T5:U5"/>
    <mergeCell ref="V5:W5"/>
    <mergeCell ref="X5:Y5"/>
    <mergeCell ref="AB5:AC5"/>
    <mergeCell ref="C25:C27"/>
    <mergeCell ref="D4:D6"/>
    <mergeCell ref="E4:E6"/>
    <mergeCell ref="F4:F6"/>
    <mergeCell ref="G4:G6"/>
    <mergeCell ref="C10:C12"/>
    <mergeCell ref="C13:C15"/>
    <mergeCell ref="C16:C18"/>
    <mergeCell ref="C19:C21"/>
    <mergeCell ref="C22:C24"/>
    <mergeCell ref="H4:AA4"/>
    <mergeCell ref="H5:I5"/>
    <mergeCell ref="J5:K5"/>
    <mergeCell ref="L5:M5"/>
    <mergeCell ref="N5:O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</vt:lpstr>
      <vt:lpstr>over view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이범세</dc:creator>
  <cp:lastModifiedBy>Nhun Nhun</cp:lastModifiedBy>
  <dcterms:created xsi:type="dcterms:W3CDTF">2025-02-02T00:47:00Z</dcterms:created>
  <dcterms:modified xsi:type="dcterms:W3CDTF">2026-01-19T06:49:45Z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DAB5A10820F94FAEAC702D5B3DEC7230_13</vt:lpwstr>
  </property>
  <property fmtid="{D5CDD505-2E9C-101B-9397-08002B2CF9AE}" pid="3" name="KSOProductBuildVer">
    <vt:lpwstr>1033-12.2.0.22549</vt:lpwstr>
  </property>
</Properties>
</file>