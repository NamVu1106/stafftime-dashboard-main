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KakaoTalk Downloads\"/>
    </mc:Choice>
  </mc:AlternateContent>
  <bookViews>
    <workbookView xWindow="0" yWindow="0" windowWidth="28800" windowHeight="12300"/>
  </bookViews>
  <sheets>
    <sheet name="Chính thức" sheetId="1" r:id="rId1"/>
  </sheets>
  <externalReferences>
    <externalReference r:id="rId2"/>
  </externalReferences>
  <definedNames>
    <definedName name="RangeData46">'[1]Dữ liệu nhập liệu'!$AU$3:$AU$11181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" l="1"/>
  <c r="Z10" i="1"/>
  <c r="J10" i="1"/>
  <c r="G10" i="1"/>
  <c r="AF9" i="1"/>
  <c r="Z9" i="1"/>
  <c r="J9" i="1"/>
  <c r="G9" i="1"/>
  <c r="AF8" i="1"/>
  <c r="Z8" i="1"/>
  <c r="J8" i="1"/>
  <c r="G8" i="1"/>
  <c r="J7" i="1"/>
  <c r="G7" i="1"/>
  <c r="AF6" i="1"/>
  <c r="Z6" i="1"/>
  <c r="J6" i="1"/>
  <c r="G6" i="1"/>
  <c r="AF5" i="1"/>
  <c r="Z5" i="1"/>
  <c r="J5" i="1"/>
  <c r="G5" i="1"/>
  <c r="AF4" i="1"/>
  <c r="Z4" i="1"/>
  <c r="J4" i="1"/>
  <c r="G4" i="1"/>
  <c r="AF3" i="1"/>
  <c r="Z3" i="1"/>
  <c r="J3" i="1"/>
  <c r="G3" i="1"/>
</calcChain>
</file>

<file path=xl/sharedStrings.xml><?xml version="1.0" encoding="utf-8"?>
<sst xmlns="http://schemas.openxmlformats.org/spreadsheetml/2006/main" count="301" uniqueCount="159">
  <si>
    <t>THÔNG TIN CHÍNH THỨC</t>
  </si>
  <si>
    <t>Mã VT</t>
  </si>
  <si>
    <t>Ca</t>
  </si>
  <si>
    <t>Mã nhân viên (*)</t>
  </si>
  <si>
    <t>Họ Tên</t>
  </si>
  <si>
    <t>Giới tính</t>
  </si>
  <si>
    <t>Ngày sinh</t>
  </si>
  <si>
    <t>Tuổi</t>
  </si>
  <si>
    <t>Bộ Phận</t>
  </si>
  <si>
    <t>Nơi sinh</t>
  </si>
  <si>
    <t>Nguyên quán</t>
  </si>
  <si>
    <t>Tỉnh/Thành phố của nguyên quán</t>
  </si>
  <si>
    <t>Số CCCD</t>
  </si>
  <si>
    <t>Ngày cấp CCCD</t>
  </si>
  <si>
    <t>Nơi cấp CCCD</t>
  </si>
  <si>
    <t>Tình trạng hôn nhân</t>
  </si>
  <si>
    <t>Dân tộc</t>
  </si>
  <si>
    <t>Tôn giáo</t>
  </si>
  <si>
    <t>Quốc tịch</t>
  </si>
  <si>
    <t>Trình độ văn hóa</t>
  </si>
  <si>
    <t>Trình độ đào tạo</t>
  </si>
  <si>
    <t>Nơi đào tạo</t>
  </si>
  <si>
    <t>Chuyên ngành</t>
  </si>
  <si>
    <t>Năm tốt nghiệp</t>
  </si>
  <si>
    <t>ĐT di động</t>
  </si>
  <si>
    <t>ĐT khác</t>
  </si>
  <si>
    <t>Hộ khẩu thường trú</t>
  </si>
  <si>
    <t>Quốc gia (hộ khẩu thường trú)</t>
  </si>
  <si>
    <t>Tỉnh/Thành phố (hộ khẩu thường trú)</t>
  </si>
  <si>
    <t>Quận/Huyện (Hộ khẩu thường trú)</t>
  </si>
  <si>
    <t>Xã/Phường (Hộ khẩu thường trú)</t>
  </si>
  <si>
    <t>Địa chỉ cụ thể</t>
  </si>
  <si>
    <t>Chỗ ở hiện nay</t>
  </si>
  <si>
    <t>Quốc gia (chỗ ở hiện nay)</t>
  </si>
  <si>
    <t>Tỉnh/Thành phố (chỗ ở hiện nay)</t>
  </si>
  <si>
    <t>Xã/Phường (Chỗ ở hiện nay)</t>
  </si>
  <si>
    <t>Mã vị trí công việc (*)</t>
  </si>
  <si>
    <t>Tên vị trí công việc</t>
  </si>
  <si>
    <t>Ngày thử việc</t>
  </si>
  <si>
    <t>Ngày chính thức</t>
  </si>
  <si>
    <t>Loại hợp đồng</t>
  </si>
  <si>
    <t>Trạng thái lao động (*)</t>
  </si>
  <si>
    <t>Ngày nghỉ việc</t>
  </si>
  <si>
    <t>Hồ sơ thiếu</t>
  </si>
  <si>
    <t>Họ và tên chủ hộ</t>
  </si>
  <si>
    <t>Quan hệ với chủ hộ</t>
  </si>
  <si>
    <t>Ngày sinh chủ hộ</t>
  </si>
  <si>
    <t>Số sổ bh</t>
  </si>
  <si>
    <t>STK</t>
  </si>
  <si>
    <t xml:space="preserve">Số CMT </t>
  </si>
  <si>
    <t>Người giới thiệu</t>
  </si>
  <si>
    <t>Ngày</t>
  </si>
  <si>
    <t>26017547EG</t>
  </si>
  <si>
    <t>La văn Sỹ</t>
  </si>
  <si>
    <t>Nam</t>
  </si>
  <si>
    <t>E</t>
  </si>
  <si>
    <t>Khau Lang, Phượng Tiến, Thái Nguyên</t>
  </si>
  <si>
    <t>Thái Nguyên</t>
  </si>
  <si>
    <t>019203008904</t>
  </si>
  <si>
    <t>Cục CS QLHC về TTXH</t>
  </si>
  <si>
    <t>Độc Thân</t>
  </si>
  <si>
    <t>Sán chỉ</t>
  </si>
  <si>
    <t>Không</t>
  </si>
  <si>
    <t>Việt Nam</t>
  </si>
  <si>
    <t>ĐH</t>
  </si>
  <si>
    <t>0365445306</t>
  </si>
  <si>
    <t>Phượng Tiến</t>
  </si>
  <si>
    <t>Khau Lang</t>
  </si>
  <si>
    <t>EG</t>
  </si>
  <si>
    <t>Nhân viên</t>
  </si>
  <si>
    <t>Hợp đồng xác định thời hạn</t>
  </si>
  <si>
    <t>Đang làm việc</t>
  </si>
  <si>
    <t>La văn Chiến</t>
  </si>
  <si>
    <t>Con</t>
  </si>
  <si>
    <t>0366297372</t>
  </si>
  <si>
    <t>26017548EG</t>
  </si>
  <si>
    <t>Nguyễn Thành Hưng</t>
  </si>
  <si>
    <t>Đá Vôi, Phú Lương, Thái Nguyên</t>
  </si>
  <si>
    <t>019202007666</t>
  </si>
  <si>
    <t>29/06/2021</t>
  </si>
  <si>
    <t>Kinh</t>
  </si>
  <si>
    <t>0989830334</t>
  </si>
  <si>
    <t>Phú Lương</t>
  </si>
  <si>
    <t>Đá Vôi</t>
  </si>
  <si>
    <t>Nguyễn Đức Hà</t>
  </si>
  <si>
    <t xml:space="preserve"> Ngày</t>
  </si>
  <si>
    <t>26017549EW</t>
  </si>
  <si>
    <t>Vũ Minh Đức</t>
  </si>
  <si>
    <t>TDP Ám, Phổ Yên, Thái Nguyên</t>
  </si>
  <si>
    <t>25/06/2021</t>
  </si>
  <si>
    <t>0359995095</t>
  </si>
  <si>
    <t>Phổ Yên</t>
  </si>
  <si>
    <t>TDP Ám</t>
  </si>
  <si>
    <t>EW</t>
  </si>
  <si>
    <t>Đội Trưởng</t>
  </si>
  <si>
    <t>Vũ Văn Phú</t>
  </si>
  <si>
    <t>109875259323</t>
  </si>
  <si>
    <t>26017550EG</t>
  </si>
  <si>
    <t>Vũ Đức Anh</t>
  </si>
  <si>
    <t>TDP An Châu 1, Bá Xuyên, Thái Nguyên</t>
  </si>
  <si>
    <t>036202015371</t>
  </si>
  <si>
    <t>0376574728</t>
  </si>
  <si>
    <t>Bá Xuyên</t>
  </si>
  <si>
    <t>TDP An Châu 1</t>
  </si>
  <si>
    <t>102872281042</t>
  </si>
  <si>
    <t>26017551PW</t>
  </si>
  <si>
    <t>Nguyễn Văn Hùng</t>
  </si>
  <si>
    <t>P</t>
  </si>
  <si>
    <t>TDP Giã Thù 4, Vạn Xuân, Thái Nguyên</t>
  </si>
  <si>
    <t>019088012844</t>
  </si>
  <si>
    <t>Đã kết hôn</t>
  </si>
  <si>
    <t>Trung cấp</t>
  </si>
  <si>
    <t>0976787286</t>
  </si>
  <si>
    <t>Vạn Xuân</t>
  </si>
  <si>
    <t>TDP Giã Thù 4</t>
  </si>
  <si>
    <t>PG</t>
  </si>
  <si>
    <t>Đội trưởng</t>
  </si>
  <si>
    <t>0946787286</t>
  </si>
  <si>
    <t>26017552HG</t>
  </si>
  <si>
    <t>Dương Văn Thanh</t>
  </si>
  <si>
    <t>H</t>
  </si>
  <si>
    <t>Chùa Hang, Thái Nguyên</t>
  </si>
  <si>
    <t>019085006062</t>
  </si>
  <si>
    <t>29/05/2025</t>
  </si>
  <si>
    <t>Đã Kết Hôn</t>
  </si>
  <si>
    <t>0878087691</t>
  </si>
  <si>
    <t>Linh Sơn</t>
  </si>
  <si>
    <t>Tổ 7</t>
  </si>
  <si>
    <t>HG</t>
  </si>
  <si>
    <t>Nhân Viên</t>
  </si>
  <si>
    <t>19/01/2026</t>
  </si>
  <si>
    <t>1 Bộ</t>
  </si>
  <si>
    <t>Chủ hộ</t>
  </si>
  <si>
    <t>0942514901</t>
  </si>
  <si>
    <t>090876822</t>
  </si>
  <si>
    <t>26017553EG</t>
  </si>
  <si>
    <t>Lý Minh Kiên</t>
  </si>
  <si>
    <t>Bản Màn, Phượng Tiến, Thái Nguyên</t>
  </si>
  <si>
    <t>Đọc Thân</t>
  </si>
  <si>
    <t>Sán Chí</t>
  </si>
  <si>
    <t>Đại học</t>
  </si>
  <si>
    <t>0359385635</t>
  </si>
  <si>
    <t>Bản Màn</t>
  </si>
  <si>
    <t>Lý Minh Cần</t>
  </si>
  <si>
    <t>091965363</t>
  </si>
  <si>
    <t>26017554PW</t>
  </si>
  <si>
    <t>Nguyễn Trọng Tài</t>
  </si>
  <si>
    <t>Na Hoàng, Bách Quang, Thái Nguyên</t>
  </si>
  <si>
    <t>019094000811</t>
  </si>
  <si>
    <t>25/04/2021</t>
  </si>
  <si>
    <t>12/12</t>
  </si>
  <si>
    <t>0963887080</t>
  </si>
  <si>
    <t>Bách Quang</t>
  </si>
  <si>
    <t>Na Hoàng</t>
  </si>
  <si>
    <t>PW</t>
  </si>
  <si>
    <t>Tổ trưởng</t>
  </si>
  <si>
    <t>22/01/2026</t>
  </si>
  <si>
    <t>Nguyễn Văn Tuấn</t>
  </si>
  <si>
    <t>100687445403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</si>
</sst>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00000000000"/>
  </numFmts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4"/>
      <color theme="1"/>
      <name val="Times New Roman"/>
      <charset val="134"/>
    </font>
    <font>
      <b/>
      <sz val="1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34080019531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wrapText="1"/>
    </xf>
    <xf numFmtId="166" fontId="2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16" fontId="1" fillId="0" borderId="2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49" fontId="1" fillId="0" borderId="2" xfId="0" quotePrefix="1" applyNumberFormat="1" applyFont="1" applyFill="1" applyBorder="1" applyAlignment="1">
      <alignment horizontal="center" wrapText="1"/>
    </xf>
    <xf numFmtId="0" fontId="1" fillId="0" borderId="2" xfId="0" quotePrefix="1" applyFont="1" applyFill="1" applyBorder="1" applyAlignment="1">
      <alignment horizontal="center" vertical="center"/>
    </xf>
    <xf numFmtId="14" fontId="1" fillId="0" borderId="2" xfId="0" quotePrefix="1" applyNumberFormat="1" applyFont="1" applyFill="1" applyBorder="1" applyAlignment="1">
      <alignment horizontal="center" wrapText="1"/>
    </xf>
    <xf numFmtId="14" fontId="1" fillId="0" borderId="2" xfId="0" quotePrefix="1" applyNumberFormat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/>
    </xf>
    <xf numFmtId="166" fontId="2" fillId="0" borderId="2" xfId="0" quotePrefix="1" applyNumberFormat="1" applyFont="1" applyFill="1" applyBorder="1" applyAlignment="1">
      <alignment horizontal="center" vertical="center"/>
    </xf>
    <xf numFmtId="16" fontId="1" fillId="0" borderId="2" xfId="0" quotePrefix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N7" sqref="N7:N9"/>
    </sheetView>
  </sheetViews>
  <sheetFormatPr defaultColWidth="9.140625" defaultRowHeight="15"/>
  <cols>
    <col min="1" max="1" width="16" style="1" customWidth="1"/>
    <col min="2" max="2" width="7.28515625" style="1" customWidth="1"/>
    <col min="3" max="3" width="15.42578125" style="1" customWidth="1"/>
    <col min="4" max="4" width="20.42578125" style="1" customWidth="1"/>
    <col min="5" max="5" width="11.140625" style="1" customWidth="1"/>
    <col min="6" max="6" width="9.85546875" style="1" customWidth="1"/>
    <col min="7" max="7" width="10.140625" style="1" customWidth="1"/>
    <col min="8" max="8" width="8.140625" style="1" customWidth="1"/>
    <col min="9" max="9" width="36" style="1" customWidth="1"/>
    <col min="10" max="10" width="37.85546875" style="1" customWidth="1"/>
    <col min="11" max="11" width="12.5703125" style="1" customWidth="1"/>
    <col min="12" max="12" width="14.28515625" style="1" customWidth="1"/>
    <col min="13" max="13" width="12.140625" style="1" customWidth="1"/>
    <col min="14" max="14" width="25" style="1" customWidth="1"/>
    <col min="15" max="15" width="12.85546875" style="1" customWidth="1"/>
    <col min="16" max="18" width="9.140625" style="1"/>
    <col min="19" max="19" width="18.28515625" style="1" customWidth="1"/>
    <col min="20" max="23" width="9.140625" style="1"/>
    <col min="24" max="24" width="13.42578125" style="1" customWidth="1"/>
    <col min="25" max="25" width="9.140625" style="1"/>
    <col min="26" max="26" width="42.28515625" style="1" customWidth="1"/>
    <col min="27" max="30" width="10.85546875" style="1" customWidth="1"/>
    <col min="31" max="31" width="14.140625" style="1" customWidth="1"/>
    <col min="32" max="32" width="35" style="1" customWidth="1"/>
    <col min="33" max="33" width="11.140625" style="1" customWidth="1"/>
    <col min="34" max="34" width="11.85546875" style="1" customWidth="1"/>
    <col min="35" max="35" width="11.28515625" style="1" customWidth="1"/>
    <col min="36" max="36" width="10.42578125" style="1" customWidth="1"/>
    <col min="37" max="38" width="12.140625" style="1" customWidth="1"/>
    <col min="39" max="39" width="10.85546875" style="1" customWidth="1"/>
    <col min="40" max="40" width="10" style="1" customWidth="1"/>
    <col min="41" max="41" width="21.85546875" style="1" customWidth="1"/>
    <col min="42" max="42" width="16.42578125" style="1" customWidth="1"/>
    <col min="43" max="43" width="15.28515625" style="1" customWidth="1"/>
    <col min="44" max="44" width="20.5703125" style="1" customWidth="1"/>
    <col min="45" max="45" width="18.140625" style="1" customWidth="1"/>
    <col min="46" max="46" width="15.28515625" style="1" customWidth="1"/>
    <col min="47" max="47" width="11" style="1" customWidth="1"/>
    <col min="48" max="48" width="10.7109375" style="1" customWidth="1"/>
    <col min="49" max="49" width="21.28515625" style="1" customWidth="1"/>
    <col min="50" max="50" width="13.42578125" style="1" customWidth="1"/>
    <col min="51" max="51" width="33.28515625" style="1" customWidth="1"/>
    <col min="52" max="16384" width="9.140625" style="1"/>
  </cols>
  <sheetData>
    <row r="1" spans="1:51" ht="20.25" customHeight="1">
      <c r="A1" s="41" t="s">
        <v>0</v>
      </c>
      <c r="B1" s="41"/>
      <c r="C1" s="41"/>
      <c r="D1" s="41"/>
    </row>
    <row r="2" spans="1:51" ht="42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31</v>
      </c>
      <c r="AK2" s="5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5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</row>
    <row r="3" spans="1:51" ht="19.5" customHeight="1">
      <c r="A3" s="6">
        <v>1352</v>
      </c>
      <c r="B3" s="7" t="s">
        <v>51</v>
      </c>
      <c r="C3" s="8" t="s">
        <v>52</v>
      </c>
      <c r="D3" s="8" t="s">
        <v>53</v>
      </c>
      <c r="E3" s="9" t="s">
        <v>54</v>
      </c>
      <c r="F3" s="10">
        <v>37778</v>
      </c>
      <c r="G3" s="11">
        <f t="shared" ref="G3:G10" ca="1" si="0">YEAR(TODAY())-YEAR(F3)</f>
        <v>23</v>
      </c>
      <c r="H3" s="12" t="s">
        <v>55</v>
      </c>
      <c r="I3" s="22" t="s">
        <v>56</v>
      </c>
      <c r="J3" s="23" t="str">
        <f t="shared" ref="J3:J10" si="1">I3</f>
        <v>Khau Lang, Phượng Tiến, Thái Nguyên</v>
      </c>
      <c r="K3" s="23" t="s">
        <v>57</v>
      </c>
      <c r="L3" s="33" t="s">
        <v>58</v>
      </c>
      <c r="M3" s="24">
        <v>44662</v>
      </c>
      <c r="N3" s="10" t="s">
        <v>59</v>
      </c>
      <c r="O3" s="23" t="s">
        <v>60</v>
      </c>
      <c r="P3" s="13" t="s">
        <v>61</v>
      </c>
      <c r="Q3" s="7" t="s">
        <v>62</v>
      </c>
      <c r="R3" s="13" t="s">
        <v>63</v>
      </c>
      <c r="S3" s="6" t="s">
        <v>64</v>
      </c>
      <c r="T3" s="6"/>
      <c r="U3" s="6"/>
      <c r="V3" s="6"/>
      <c r="W3" s="6"/>
      <c r="X3" s="34" t="s">
        <v>65</v>
      </c>
      <c r="Y3" s="6"/>
      <c r="Z3" s="6" t="str">
        <f t="shared" ref="Z3:Z6" si="2">AE3&amp;", "&amp;AD3&amp;", "&amp;AB3</f>
        <v>Khau Lang, Phượng Tiến, Thái Nguyên</v>
      </c>
      <c r="AA3" s="13" t="s">
        <v>63</v>
      </c>
      <c r="AB3" s="13" t="s">
        <v>57</v>
      </c>
      <c r="AC3" s="6"/>
      <c r="AD3" s="30" t="s">
        <v>66</v>
      </c>
      <c r="AE3" s="6" t="s">
        <v>67</v>
      </c>
      <c r="AF3" s="23" t="str">
        <f t="shared" ref="AF3:AF6" si="3">+AJ3&amp;", "&amp;AI3&amp;", "&amp;AH3</f>
        <v>Khau Lang, Phượng Tiến, Thái Nguyên</v>
      </c>
      <c r="AG3" s="7" t="s">
        <v>63</v>
      </c>
      <c r="AH3" s="13" t="s">
        <v>57</v>
      </c>
      <c r="AI3" s="30" t="s">
        <v>66</v>
      </c>
      <c r="AJ3" s="6" t="s">
        <v>67</v>
      </c>
      <c r="AK3" s="13" t="s">
        <v>68</v>
      </c>
      <c r="AL3" s="13" t="s">
        <v>69</v>
      </c>
      <c r="AM3" s="10">
        <v>46082</v>
      </c>
      <c r="AN3" s="10">
        <v>46082</v>
      </c>
      <c r="AO3" s="23" t="s">
        <v>70</v>
      </c>
      <c r="AP3" s="23" t="s">
        <v>71</v>
      </c>
      <c r="AQ3" s="6"/>
      <c r="AR3" s="6"/>
      <c r="AS3" s="6" t="s">
        <v>72</v>
      </c>
      <c r="AT3" s="6" t="s">
        <v>73</v>
      </c>
      <c r="AU3" s="6">
        <v>1974</v>
      </c>
      <c r="AV3" s="6"/>
      <c r="AW3" s="34" t="s">
        <v>74</v>
      </c>
      <c r="AX3" s="6"/>
      <c r="AY3" s="6"/>
    </row>
    <row r="4" spans="1:51" ht="19.5" customHeight="1">
      <c r="A4" s="13">
        <v>1026</v>
      </c>
      <c r="B4" s="7" t="s">
        <v>51</v>
      </c>
      <c r="C4" s="8" t="s">
        <v>75</v>
      </c>
      <c r="D4" s="8" t="s">
        <v>76</v>
      </c>
      <c r="E4" s="9" t="s">
        <v>54</v>
      </c>
      <c r="F4" s="10">
        <v>37489</v>
      </c>
      <c r="G4" s="11">
        <f t="shared" ca="1" si="0"/>
        <v>24</v>
      </c>
      <c r="H4" s="12" t="s">
        <v>55</v>
      </c>
      <c r="I4" s="22" t="s">
        <v>77</v>
      </c>
      <c r="J4" s="23" t="str">
        <f t="shared" si="1"/>
        <v>Đá Vôi, Phú Lương, Thái Nguyên</v>
      </c>
      <c r="K4" s="23" t="s">
        <v>57</v>
      </c>
      <c r="L4" s="22" t="s">
        <v>78</v>
      </c>
      <c r="M4" s="35" t="s">
        <v>79</v>
      </c>
      <c r="N4" s="10" t="s">
        <v>59</v>
      </c>
      <c r="O4" s="23" t="s">
        <v>60</v>
      </c>
      <c r="P4" s="13" t="s">
        <v>80</v>
      </c>
      <c r="Q4" s="7" t="s">
        <v>62</v>
      </c>
      <c r="R4" s="13" t="s">
        <v>63</v>
      </c>
      <c r="S4" s="6" t="s">
        <v>64</v>
      </c>
      <c r="T4" s="6"/>
      <c r="U4" s="6"/>
      <c r="V4" s="6"/>
      <c r="W4" s="6"/>
      <c r="X4" s="34" t="s">
        <v>81</v>
      </c>
      <c r="Y4" s="6"/>
      <c r="Z4" s="6" t="str">
        <f t="shared" si="2"/>
        <v>Đá Vôi, Phú Lương, Thái Nguyên</v>
      </c>
      <c r="AA4" s="13" t="s">
        <v>63</v>
      </c>
      <c r="AB4" s="13" t="s">
        <v>57</v>
      </c>
      <c r="AC4" s="6"/>
      <c r="AD4" s="30" t="s">
        <v>82</v>
      </c>
      <c r="AE4" s="6" t="s">
        <v>83</v>
      </c>
      <c r="AF4" s="23" t="str">
        <f t="shared" si="3"/>
        <v>Đá Vôi, Phú Lương, Thái Nguyên</v>
      </c>
      <c r="AG4" s="7" t="s">
        <v>63</v>
      </c>
      <c r="AH4" s="13" t="s">
        <v>57</v>
      </c>
      <c r="AI4" s="30" t="s">
        <v>82</v>
      </c>
      <c r="AJ4" s="6" t="s">
        <v>83</v>
      </c>
      <c r="AK4" s="13" t="s">
        <v>68</v>
      </c>
      <c r="AL4" s="13" t="s">
        <v>69</v>
      </c>
      <c r="AM4" s="10">
        <v>46266</v>
      </c>
      <c r="AN4" s="10">
        <v>46266</v>
      </c>
      <c r="AO4" s="23" t="s">
        <v>70</v>
      </c>
      <c r="AP4" s="23" t="s">
        <v>71</v>
      </c>
      <c r="AQ4" s="6"/>
      <c r="AR4" s="6"/>
      <c r="AS4" s="6" t="s">
        <v>84</v>
      </c>
      <c r="AT4" s="6" t="s">
        <v>73</v>
      </c>
      <c r="AU4" s="6">
        <v>1975</v>
      </c>
      <c r="AV4" s="6"/>
      <c r="AW4" s="6"/>
      <c r="AX4" s="6"/>
      <c r="AY4" s="6"/>
    </row>
    <row r="5" spans="1:51" s="2" customFormat="1" ht="19.5" customHeight="1">
      <c r="A5" s="13">
        <v>1025</v>
      </c>
      <c r="B5" s="7" t="s">
        <v>85</v>
      </c>
      <c r="C5" s="8" t="s">
        <v>86</v>
      </c>
      <c r="D5" s="12" t="s">
        <v>87</v>
      </c>
      <c r="E5" s="9" t="s">
        <v>54</v>
      </c>
      <c r="F5" s="14">
        <v>35010</v>
      </c>
      <c r="G5" s="11">
        <f t="shared" ca="1" si="0"/>
        <v>31</v>
      </c>
      <c r="H5" s="12" t="s">
        <v>55</v>
      </c>
      <c r="I5" s="6" t="s">
        <v>88</v>
      </c>
      <c r="J5" s="23" t="str">
        <f t="shared" si="1"/>
        <v>TDP Ám, Phổ Yên, Thái Nguyên</v>
      </c>
      <c r="K5" s="23" t="s">
        <v>57</v>
      </c>
      <c r="L5" s="25">
        <v>19095007763</v>
      </c>
      <c r="M5" s="36" t="s">
        <v>89</v>
      </c>
      <c r="N5" s="10" t="s">
        <v>59</v>
      </c>
      <c r="O5" s="23" t="s">
        <v>60</v>
      </c>
      <c r="P5" s="13" t="s">
        <v>80</v>
      </c>
      <c r="Q5" s="7" t="s">
        <v>62</v>
      </c>
      <c r="R5" s="13" t="s">
        <v>63</v>
      </c>
      <c r="S5" s="6" t="s">
        <v>64</v>
      </c>
      <c r="T5" s="13"/>
      <c r="U5" s="13"/>
      <c r="V5" s="13"/>
      <c r="W5" s="13"/>
      <c r="X5" s="34" t="s">
        <v>90</v>
      </c>
      <c r="Y5" s="13"/>
      <c r="Z5" s="6" t="str">
        <f t="shared" si="2"/>
        <v>TDP Ám, Phổ Yên, Thái Nguyên</v>
      </c>
      <c r="AA5" s="13" t="s">
        <v>63</v>
      </c>
      <c r="AB5" s="13" t="s">
        <v>57</v>
      </c>
      <c r="AC5" s="13"/>
      <c r="AD5" s="31" t="s">
        <v>91</v>
      </c>
      <c r="AE5" s="13" t="s">
        <v>92</v>
      </c>
      <c r="AF5" s="23" t="str">
        <f t="shared" si="3"/>
        <v>TDP Ám, Phổ Yên, Thái Nguyên</v>
      </c>
      <c r="AG5" s="7" t="s">
        <v>63</v>
      </c>
      <c r="AH5" s="13" t="s">
        <v>57</v>
      </c>
      <c r="AI5" s="31" t="s">
        <v>91</v>
      </c>
      <c r="AJ5" s="13" t="s">
        <v>92</v>
      </c>
      <c r="AK5" s="13" t="s">
        <v>93</v>
      </c>
      <c r="AL5" s="13" t="s">
        <v>94</v>
      </c>
      <c r="AM5" s="10">
        <v>46266</v>
      </c>
      <c r="AN5" s="10">
        <v>46266</v>
      </c>
      <c r="AO5" s="23" t="s">
        <v>70</v>
      </c>
      <c r="AP5" s="23" t="s">
        <v>71</v>
      </c>
      <c r="AQ5" s="13"/>
      <c r="AR5" s="6"/>
      <c r="AS5" s="6" t="s">
        <v>95</v>
      </c>
      <c r="AT5" s="6" t="s">
        <v>73</v>
      </c>
      <c r="AU5" s="6">
        <v>1960</v>
      </c>
      <c r="AV5" s="13"/>
      <c r="AW5" s="37" t="s">
        <v>96</v>
      </c>
      <c r="AX5" s="13"/>
      <c r="AY5" s="13"/>
    </row>
    <row r="6" spans="1:51" ht="19.5" customHeight="1">
      <c r="A6" s="13">
        <v>648</v>
      </c>
      <c r="B6" s="7" t="s">
        <v>51</v>
      </c>
      <c r="C6" s="8" t="s">
        <v>97</v>
      </c>
      <c r="D6" s="8" t="s">
        <v>98</v>
      </c>
      <c r="E6" s="9" t="s">
        <v>54</v>
      </c>
      <c r="F6" s="10">
        <v>37602</v>
      </c>
      <c r="G6" s="11">
        <f t="shared" ca="1" si="0"/>
        <v>24</v>
      </c>
      <c r="H6" s="12" t="s">
        <v>55</v>
      </c>
      <c r="I6" s="22" t="s">
        <v>99</v>
      </c>
      <c r="J6" s="23" t="str">
        <f t="shared" si="1"/>
        <v>TDP An Châu 1, Bá Xuyên, Thái Nguyên</v>
      </c>
      <c r="K6" s="23" t="s">
        <v>57</v>
      </c>
      <c r="L6" s="33" t="s">
        <v>100</v>
      </c>
      <c r="M6" s="24">
        <v>44444</v>
      </c>
      <c r="N6" s="10" t="s">
        <v>59</v>
      </c>
      <c r="O6" s="23" t="s">
        <v>60</v>
      </c>
      <c r="P6" s="13" t="s">
        <v>80</v>
      </c>
      <c r="Q6" s="7" t="s">
        <v>62</v>
      </c>
      <c r="R6" s="13" t="s">
        <v>63</v>
      </c>
      <c r="S6" s="6" t="s">
        <v>64</v>
      </c>
      <c r="T6" s="6"/>
      <c r="U6" s="6"/>
      <c r="V6" s="6"/>
      <c r="W6" s="6"/>
      <c r="X6" s="34" t="s">
        <v>101</v>
      </c>
      <c r="Y6" s="6"/>
      <c r="Z6" s="6" t="str">
        <f t="shared" si="2"/>
        <v>TDP An Châu 1, Bá Xuyên, Thái Nguyên</v>
      </c>
      <c r="AA6" s="13" t="s">
        <v>63</v>
      </c>
      <c r="AB6" s="13" t="s">
        <v>57</v>
      </c>
      <c r="AC6" s="6"/>
      <c r="AD6" s="30" t="s">
        <v>102</v>
      </c>
      <c r="AE6" s="6" t="s">
        <v>103</v>
      </c>
      <c r="AF6" s="23" t="str">
        <f t="shared" si="3"/>
        <v>TDP An Châu 1, Bá Xuyên, Thái Nguyên</v>
      </c>
      <c r="AG6" s="7" t="s">
        <v>63</v>
      </c>
      <c r="AH6" s="13" t="s">
        <v>57</v>
      </c>
      <c r="AI6" s="30" t="s">
        <v>102</v>
      </c>
      <c r="AJ6" s="6" t="s">
        <v>103</v>
      </c>
      <c r="AK6" s="13" t="s">
        <v>68</v>
      </c>
      <c r="AL6" s="13" t="s">
        <v>69</v>
      </c>
      <c r="AM6" s="10">
        <v>46357</v>
      </c>
      <c r="AN6" s="10">
        <v>46357</v>
      </c>
      <c r="AO6" s="23" t="s">
        <v>70</v>
      </c>
      <c r="AP6" s="23" t="s">
        <v>71</v>
      </c>
      <c r="AQ6" s="6"/>
      <c r="AR6" s="6"/>
      <c r="AS6" s="6"/>
      <c r="AT6" s="6"/>
      <c r="AU6" s="6"/>
      <c r="AV6" s="6"/>
      <c r="AW6" s="34" t="s">
        <v>104</v>
      </c>
      <c r="AX6" s="6"/>
      <c r="AY6" s="6"/>
    </row>
    <row r="7" spans="1:51" s="3" customFormat="1" ht="19.5" customHeight="1">
      <c r="A7" s="15">
        <v>1274</v>
      </c>
      <c r="B7" s="16" t="s">
        <v>51</v>
      </c>
      <c r="C7" s="17" t="s">
        <v>105</v>
      </c>
      <c r="D7" s="17" t="s">
        <v>106</v>
      </c>
      <c r="E7" s="18" t="s">
        <v>54</v>
      </c>
      <c r="F7" s="19">
        <v>32360</v>
      </c>
      <c r="G7" s="20">
        <f t="shared" ca="1" si="0"/>
        <v>38</v>
      </c>
      <c r="H7" s="21" t="s">
        <v>107</v>
      </c>
      <c r="I7" s="22" t="s">
        <v>108</v>
      </c>
      <c r="J7" s="26" t="str">
        <f t="shared" si="1"/>
        <v>TDP Giã Thù 4, Vạn Xuân, Thái Nguyên</v>
      </c>
      <c r="K7" s="26" t="s">
        <v>57</v>
      </c>
      <c r="L7" s="33" t="s">
        <v>109</v>
      </c>
      <c r="M7" s="24">
        <v>44325</v>
      </c>
      <c r="N7" s="19" t="s">
        <v>59</v>
      </c>
      <c r="O7" s="26" t="s">
        <v>110</v>
      </c>
      <c r="P7" s="15" t="s">
        <v>80</v>
      </c>
      <c r="Q7" s="16" t="s">
        <v>62</v>
      </c>
      <c r="R7" s="15" t="s">
        <v>63</v>
      </c>
      <c r="S7" s="28" t="s">
        <v>111</v>
      </c>
      <c r="T7" s="28"/>
      <c r="U7" s="28"/>
      <c r="V7" s="28"/>
      <c r="W7" s="28"/>
      <c r="X7" s="38" t="s">
        <v>112</v>
      </c>
      <c r="Y7" s="28"/>
      <c r="Z7" s="28" t="s">
        <v>108</v>
      </c>
      <c r="AA7" s="15" t="s">
        <v>63</v>
      </c>
      <c r="AB7" s="15" t="s">
        <v>57</v>
      </c>
      <c r="AC7" s="28"/>
      <c r="AD7" s="32" t="s">
        <v>113</v>
      </c>
      <c r="AE7" s="28" t="s">
        <v>103</v>
      </c>
      <c r="AF7" s="26" t="s">
        <v>108</v>
      </c>
      <c r="AG7" s="16" t="s">
        <v>63</v>
      </c>
      <c r="AH7" s="15" t="s">
        <v>57</v>
      </c>
      <c r="AI7" s="32" t="s">
        <v>113</v>
      </c>
      <c r="AJ7" s="28" t="s">
        <v>114</v>
      </c>
      <c r="AK7" s="15" t="s">
        <v>115</v>
      </c>
      <c r="AL7" s="15" t="s">
        <v>116</v>
      </c>
      <c r="AM7" s="19">
        <v>46038</v>
      </c>
      <c r="AN7" s="19">
        <v>46038</v>
      </c>
      <c r="AO7" s="26" t="s">
        <v>70</v>
      </c>
      <c r="AP7" s="26" t="s">
        <v>71</v>
      </c>
      <c r="AQ7" s="28"/>
      <c r="AR7" s="28"/>
      <c r="AS7" s="28"/>
      <c r="AT7" s="28"/>
      <c r="AU7" s="28"/>
      <c r="AV7" s="28"/>
      <c r="AW7" s="38" t="s">
        <v>117</v>
      </c>
      <c r="AX7" s="28"/>
      <c r="AY7" s="28"/>
    </row>
    <row r="8" spans="1:51" s="3" customFormat="1" ht="19.5" customHeight="1">
      <c r="A8" s="15">
        <v>1048</v>
      </c>
      <c r="B8" s="16" t="s">
        <v>51</v>
      </c>
      <c r="C8" s="17" t="s">
        <v>118</v>
      </c>
      <c r="D8" s="17" t="s">
        <v>119</v>
      </c>
      <c r="E8" s="18" t="s">
        <v>54</v>
      </c>
      <c r="F8" s="19">
        <v>31157</v>
      </c>
      <c r="G8" s="11">
        <f t="shared" ca="1" si="0"/>
        <v>41</v>
      </c>
      <c r="H8" s="21" t="s">
        <v>120</v>
      </c>
      <c r="I8" s="22" t="s">
        <v>121</v>
      </c>
      <c r="J8" s="26" t="str">
        <f t="shared" si="1"/>
        <v>Chùa Hang, Thái Nguyên</v>
      </c>
      <c r="K8" s="26" t="s">
        <v>57</v>
      </c>
      <c r="L8" s="33" t="s">
        <v>122</v>
      </c>
      <c r="M8" s="24" t="s">
        <v>123</v>
      </c>
      <c r="N8" s="19" t="s">
        <v>59</v>
      </c>
      <c r="O8" s="26" t="s">
        <v>124</v>
      </c>
      <c r="P8" s="15" t="s">
        <v>80</v>
      </c>
      <c r="Q8" s="16" t="s">
        <v>62</v>
      </c>
      <c r="R8" s="15" t="s">
        <v>63</v>
      </c>
      <c r="S8" s="29">
        <v>46368</v>
      </c>
      <c r="T8" s="28"/>
      <c r="U8" s="28"/>
      <c r="V8" s="28"/>
      <c r="W8" s="28"/>
      <c r="X8" s="38" t="s">
        <v>125</v>
      </c>
      <c r="Y8" s="28"/>
      <c r="Z8" s="6" t="str">
        <f t="shared" ref="Z8:Z10" si="4">AE8&amp;", "&amp;AD8&amp;", "&amp;AB8</f>
        <v>Tổ 7, Linh Sơn, Thái Nguyên</v>
      </c>
      <c r="AA8" s="15" t="s">
        <v>63</v>
      </c>
      <c r="AB8" s="15" t="s">
        <v>57</v>
      </c>
      <c r="AC8" s="28"/>
      <c r="AD8" s="28" t="s">
        <v>126</v>
      </c>
      <c r="AE8" s="32" t="s">
        <v>127</v>
      </c>
      <c r="AF8" s="23" t="str">
        <f t="shared" ref="AF8:AF10" si="5">+AJ8&amp;", "&amp;AI8&amp;", "&amp;AH8</f>
        <v>Tổ 7, Linh Sơn, Thái Nguyên</v>
      </c>
      <c r="AG8" s="16" t="s">
        <v>63</v>
      </c>
      <c r="AH8" s="15" t="s">
        <v>57</v>
      </c>
      <c r="AI8" s="32" t="s">
        <v>126</v>
      </c>
      <c r="AJ8" s="28" t="s">
        <v>127</v>
      </c>
      <c r="AK8" s="15" t="s">
        <v>128</v>
      </c>
      <c r="AL8" s="15" t="s">
        <v>129</v>
      </c>
      <c r="AM8" s="19" t="s">
        <v>130</v>
      </c>
      <c r="AN8" s="19" t="s">
        <v>130</v>
      </c>
      <c r="AO8" s="26" t="s">
        <v>70</v>
      </c>
      <c r="AP8" s="26" t="s">
        <v>71</v>
      </c>
      <c r="AQ8" s="28"/>
      <c r="AR8" s="28" t="s">
        <v>131</v>
      </c>
      <c r="AS8" s="28" t="s">
        <v>119</v>
      </c>
      <c r="AT8" s="28" t="s">
        <v>132</v>
      </c>
      <c r="AU8" s="28"/>
      <c r="AV8" s="28"/>
      <c r="AW8" s="38" t="s">
        <v>133</v>
      </c>
      <c r="AX8" s="38" t="s">
        <v>134</v>
      </c>
      <c r="AY8" s="28"/>
    </row>
    <row r="9" spans="1:51" s="2" customFormat="1" ht="19.5" customHeight="1">
      <c r="A9" s="13">
        <v>1050</v>
      </c>
      <c r="B9" s="16" t="s">
        <v>51</v>
      </c>
      <c r="C9" s="17" t="s">
        <v>135</v>
      </c>
      <c r="D9" s="12" t="s">
        <v>136</v>
      </c>
      <c r="E9" s="18" t="s">
        <v>54</v>
      </c>
      <c r="F9" s="14">
        <v>37625</v>
      </c>
      <c r="G9" s="11">
        <f t="shared" ca="1" si="0"/>
        <v>23</v>
      </c>
      <c r="H9" s="12" t="s">
        <v>55</v>
      </c>
      <c r="I9" s="6" t="s">
        <v>137</v>
      </c>
      <c r="J9" s="23" t="str">
        <f t="shared" si="1"/>
        <v>Bản Màn, Phượng Tiến, Thái Nguyên</v>
      </c>
      <c r="K9" s="26" t="s">
        <v>57</v>
      </c>
      <c r="L9" s="39" t="s">
        <v>122</v>
      </c>
      <c r="M9" s="14">
        <v>44573</v>
      </c>
      <c r="N9" s="19" t="s">
        <v>59</v>
      </c>
      <c r="O9" s="23" t="s">
        <v>138</v>
      </c>
      <c r="P9" s="13" t="s">
        <v>139</v>
      </c>
      <c r="Q9" s="16" t="s">
        <v>62</v>
      </c>
      <c r="R9" s="15" t="s">
        <v>63</v>
      </c>
      <c r="S9" s="29">
        <v>46368</v>
      </c>
      <c r="T9" s="13" t="s">
        <v>140</v>
      </c>
      <c r="U9" s="13"/>
      <c r="V9" s="13"/>
      <c r="W9" s="13"/>
      <c r="X9" s="34" t="s">
        <v>141</v>
      </c>
      <c r="Y9" s="13"/>
      <c r="Z9" s="6" t="str">
        <f t="shared" si="4"/>
        <v>Bản Màn, Phượng Tiến, Thái Nguyên</v>
      </c>
      <c r="AA9" s="15" t="s">
        <v>63</v>
      </c>
      <c r="AB9" s="15" t="s">
        <v>57</v>
      </c>
      <c r="AC9" s="13"/>
      <c r="AD9" s="31" t="s">
        <v>66</v>
      </c>
      <c r="AE9" s="13" t="s">
        <v>142</v>
      </c>
      <c r="AF9" s="23" t="str">
        <f t="shared" si="5"/>
        <v>Bản Màn, Phượng Tiến, Thái Nguyên</v>
      </c>
      <c r="AG9" s="16" t="s">
        <v>63</v>
      </c>
      <c r="AH9" s="15" t="s">
        <v>57</v>
      </c>
      <c r="AI9" s="31" t="s">
        <v>66</v>
      </c>
      <c r="AJ9" s="13" t="s">
        <v>142</v>
      </c>
      <c r="AK9" s="13" t="s">
        <v>68</v>
      </c>
      <c r="AL9" s="15" t="s">
        <v>129</v>
      </c>
      <c r="AM9" s="19" t="s">
        <v>130</v>
      </c>
      <c r="AN9" s="19" t="s">
        <v>130</v>
      </c>
      <c r="AO9" s="26" t="s">
        <v>70</v>
      </c>
      <c r="AP9" s="26" t="s">
        <v>71</v>
      </c>
      <c r="AQ9" s="13"/>
      <c r="AR9" s="28" t="s">
        <v>131</v>
      </c>
      <c r="AS9" s="6" t="s">
        <v>143</v>
      </c>
      <c r="AT9" s="6" t="s">
        <v>73</v>
      </c>
      <c r="AU9" s="6">
        <v>1978</v>
      </c>
      <c r="AV9" s="13"/>
      <c r="AW9" s="13"/>
      <c r="AX9" s="37" t="s">
        <v>144</v>
      </c>
      <c r="AY9" s="13"/>
    </row>
    <row r="10" spans="1:51" s="3" customFormat="1" ht="19.5" customHeight="1">
      <c r="A10" s="15">
        <v>1413</v>
      </c>
      <c r="B10" s="16" t="s">
        <v>51</v>
      </c>
      <c r="C10" s="17" t="s">
        <v>145</v>
      </c>
      <c r="D10" s="17" t="s">
        <v>146</v>
      </c>
      <c r="E10" s="18" t="s">
        <v>54</v>
      </c>
      <c r="F10" s="19">
        <v>34456</v>
      </c>
      <c r="G10" s="11">
        <f t="shared" ca="1" si="0"/>
        <v>32</v>
      </c>
      <c r="H10" s="21" t="s">
        <v>107</v>
      </c>
      <c r="I10" s="22" t="s">
        <v>147</v>
      </c>
      <c r="J10" s="26" t="str">
        <f t="shared" si="1"/>
        <v>Na Hoàng, Bách Quang, Thái Nguyên</v>
      </c>
      <c r="K10" s="26" t="s">
        <v>57</v>
      </c>
      <c r="L10" s="33" t="s">
        <v>148</v>
      </c>
      <c r="M10" s="24" t="s">
        <v>149</v>
      </c>
      <c r="N10" s="19" t="s">
        <v>59</v>
      </c>
      <c r="O10" s="26" t="s">
        <v>124</v>
      </c>
      <c r="P10" s="15" t="s">
        <v>80</v>
      </c>
      <c r="Q10" s="16" t="s">
        <v>62</v>
      </c>
      <c r="R10" s="15" t="s">
        <v>63</v>
      </c>
      <c r="S10" s="40" t="s">
        <v>150</v>
      </c>
      <c r="T10" s="28"/>
      <c r="U10" s="28"/>
      <c r="V10" s="28"/>
      <c r="W10" s="28"/>
      <c r="X10" s="38" t="s">
        <v>151</v>
      </c>
      <c r="Y10" s="28"/>
      <c r="Z10" s="6" t="str">
        <f t="shared" si="4"/>
        <v>Na Hoàng, Bách Quang, Thái Nguyên</v>
      </c>
      <c r="AA10" s="15" t="s">
        <v>63</v>
      </c>
      <c r="AB10" s="15" t="s">
        <v>57</v>
      </c>
      <c r="AC10" s="28"/>
      <c r="AD10" s="28" t="s">
        <v>152</v>
      </c>
      <c r="AE10" s="32" t="s">
        <v>153</v>
      </c>
      <c r="AF10" s="23" t="str">
        <f t="shared" si="5"/>
        <v>Na Hoàng, Bách Quang, Thái Nguyên</v>
      </c>
      <c r="AG10" s="16" t="s">
        <v>63</v>
      </c>
      <c r="AH10" s="15" t="s">
        <v>57</v>
      </c>
      <c r="AI10" s="28" t="s">
        <v>152</v>
      </c>
      <c r="AJ10" s="32" t="s">
        <v>153</v>
      </c>
      <c r="AK10" s="15" t="s">
        <v>154</v>
      </c>
      <c r="AL10" s="15" t="s">
        <v>155</v>
      </c>
      <c r="AM10" s="19" t="s">
        <v>156</v>
      </c>
      <c r="AN10" s="19" t="s">
        <v>156</v>
      </c>
      <c r="AO10" s="26" t="s">
        <v>70</v>
      </c>
      <c r="AP10" s="26" t="s">
        <v>71</v>
      </c>
      <c r="AQ10" s="28"/>
      <c r="AR10" s="28" t="s">
        <v>131</v>
      </c>
      <c r="AS10" s="28" t="s">
        <v>157</v>
      </c>
      <c r="AT10" s="28" t="s">
        <v>132</v>
      </c>
      <c r="AU10" s="28">
        <v>1968</v>
      </c>
      <c r="AV10" s="28"/>
      <c r="AW10" s="38" t="s">
        <v>158</v>
      </c>
      <c r="AX10" s="28"/>
      <c r="AY10" s="28"/>
    </row>
    <row r="11" spans="1:51">
      <c r="AH11" s="27"/>
    </row>
    <row r="12" spans="1:51">
      <c r="I12"/>
    </row>
    <row r="17" spans="11:11">
      <c r="K17" s="27"/>
    </row>
  </sheetData>
  <mergeCells count="1">
    <mergeCell ref="A1:D1"/>
  </mergeCells>
  <conditionalFormatting sqref="A3">
    <cfRule type="duplicateValues" dxfId="5" priority="6"/>
  </conditionalFormatting>
  <conditionalFormatting sqref="A6">
    <cfRule type="duplicateValues" dxfId="4" priority="4"/>
  </conditionalFormatting>
  <conditionalFormatting sqref="A7">
    <cfRule type="duplicateValues" dxfId="3" priority="3"/>
  </conditionalFormatting>
  <conditionalFormatting sqref="A10">
    <cfRule type="duplicateValues" dxfId="2" priority="1"/>
  </conditionalFormatting>
  <conditionalFormatting sqref="A4:A5">
    <cfRule type="duplicateValues" dxfId="1" priority="5"/>
  </conditionalFormatting>
  <conditionalFormatting sqref="A8:A9">
    <cfRule type="duplicateValues" dxfId="0" priority="2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Chính thức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admin</cp:lastModifiedBy>
  <dcterms:created xsi:type="dcterms:W3CDTF">2026-01-24T08:35:00Z</dcterms:created>
  <dcterms:modified xsi:type="dcterms:W3CDTF">2026-01-28T10:15:08Z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BB4A4E9F931A4C6D9027B6317059D4FC_11</vt:lpwstr>
  </property>
  <property fmtid="{D5CDD505-2E9C-101B-9397-08002B2CF9AE}" pid="3" name="KSOProductBuildVer">
    <vt:lpwstr>1033-12.2.0.23196</vt:lpwstr>
  </property>
</Properties>
</file>