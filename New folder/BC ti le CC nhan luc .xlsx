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BC" sheetId="3" r:id="rId1"/>
    <sheet name="Sheet3" sheetId="1" r:id="rId2"/>
    <sheet name="Sheet1" sheetId="2" r:id="rId3"/>
  </sheets>
  <externalReferences>
    <externalReference r:id="rId4"/>
  </externalReferences>
  <definedNames>
    <definedName name="RangeData46">'[1]Dữ liệu nhập liệu'!$AU$3:$AU$11181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<sst xmlns="http://schemas.openxmlformats.org/spreadsheetml/2006/main" count="279" uniqueCount="46">
  <si>
    <t>a</t>
  </si>
  <si>
    <t>b</t>
  </si>
  <si>
    <t>c</t>
  </si>
  <si>
    <t>d</t>
  </si>
  <si>
    <t>e</t>
  </si>
  <si>
    <t>f</t>
  </si>
  <si>
    <t>g</t>
  </si>
  <si>
    <t>h</t>
  </si>
  <si>
    <t>i</t>
  </si>
  <si>
    <t>BC ti le cung cap nhan luc cac vendor</t>
  </si>
  <si>
    <t>No</t>
  </si>
  <si>
    <t>Vendor</t>
  </si>
  <si>
    <t>22/01/2026</t>
  </si>
  <si>
    <t>23/01/2026</t>
  </si>
  <si>
    <t>Tổng</t>
  </si>
  <si>
    <t>Ca ngày</t>
  </si>
  <si>
    <t>Ca đêm</t>
  </si>
  <si>
    <t>Số lượng oder nhân sự</t>
  </si>
  <si>
    <t>Vendor báo</t>
  </si>
  <si>
    <t>Thực tế</t>
  </si>
  <si>
    <t>Tỉ lệ</t>
  </si>
  <si>
    <t>Số lượng bộ phận oder</t>
  </si>
  <si>
    <t>Total</t>
  </si>
  <si>
    <t>HM</t>
  </si>
  <si>
    <t>HL Việt Nam</t>
  </si>
  <si>
    <t>CIC</t>
  </si>
  <si>
    <t>ATK</t>
  </si>
  <si>
    <t>NetViet</t>
  </si>
  <si>
    <t>Minh Đức</t>
  </si>
  <si>
    <t>HLM</t>
  </si>
  <si>
    <t>ATM</t>
  </si>
  <si>
    <t>Nhat Minh</t>
  </si>
  <si>
    <t>ABC</t>
  </si>
  <si>
    <t>WW(TT)</t>
  </si>
  <si>
    <t>QTC</t>
  </si>
  <si>
    <t>CA NGÀY</t>
  </si>
  <si>
    <t>Oder</t>
  </si>
  <si>
    <t>STT</t>
  </si>
  <si>
    <t>PO</t>
  </si>
  <si>
    <t xml:space="preserve">Vender dự kiến </t>
  </si>
  <si>
    <t>Tỷ  lệ</t>
  </si>
  <si>
    <t>MĐ</t>
  </si>
  <si>
    <t>WN</t>
  </si>
  <si>
    <t>HLVN</t>
  </si>
  <si>
    <t>NET</t>
  </si>
  <si>
    <t>CA ĐÊM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</si>
</sst>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"/>
  </numFmts>
  <fonts count="3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0"/>
      <name val="Times New Roman"/>
      <charset val="134"/>
    </font>
    <font>
      <sz val="12"/>
      <color theme="1"/>
      <name val="Times New Roman"/>
      <charset val="134"/>
    </font>
    <font>
      <b/>
      <u/>
      <sz val="20"/>
      <color theme="0"/>
      <name val="Times New Roman"/>
      <charset val="134"/>
    </font>
    <font>
      <b/>
      <u/>
      <sz val="20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37" applyNumberFormat="0" applyAlignment="0" applyProtection="0">
      <alignment vertical="center"/>
    </xf>
    <xf numFmtId="0" fontId="22" fillId="10" borderId="38" applyNumberFormat="0" applyAlignment="0" applyProtection="0">
      <alignment vertical="center"/>
    </xf>
    <xf numFmtId="0" fontId="23" fillId="10" borderId="37" applyNumberFormat="0" applyAlignment="0" applyProtection="0">
      <alignment vertical="center"/>
    </xf>
    <xf numFmtId="0" fontId="24" fillId="11" borderId="39" applyNumberFormat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16" fontId="1" fillId="0" borderId="1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9" fontId="1" fillId="0" borderId="3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0" fontId="3" fillId="5" borderId="0" xfId="49" applyFont="1" applyFill="1"/>
    <xf numFmtId="0" fontId="4" fillId="5" borderId="0" xfId="49" applyFill="1"/>
    <xf numFmtId="0" fontId="4" fillId="0" borderId="0" xfId="49"/>
    <xf numFmtId="0" fontId="5" fillId="0" borderId="0" xfId="49" applyFont="1"/>
    <xf numFmtId="0" fontId="6" fillId="0" borderId="0" xfId="49" applyFont="1"/>
    <xf numFmtId="0" fontId="7" fillId="0" borderId="0" xfId="49" applyFont="1" applyAlignment="1">
      <alignment horizontal="left" vertical="center"/>
    </xf>
    <xf numFmtId="178" fontId="8" fillId="6" borderId="3" xfId="49" applyNumberFormat="1" applyFont="1" applyFill="1" applyBorder="1" applyAlignment="1">
      <alignment horizontal="center" vertical="center"/>
    </xf>
    <xf numFmtId="178" fontId="8" fillId="6" borderId="1" xfId="49" applyNumberFormat="1" applyFont="1" applyFill="1" applyBorder="1" applyAlignment="1">
      <alignment horizontal="center" vertical="center"/>
    </xf>
    <xf numFmtId="0" fontId="9" fillId="7" borderId="3" xfId="49" applyFont="1" applyFill="1" applyBorder="1" applyAlignment="1">
      <alignment horizontal="center" vertical="center"/>
    </xf>
    <xf numFmtId="0" fontId="10" fillId="0" borderId="4" xfId="49" applyFont="1" applyBorder="1" applyAlignment="1">
      <alignment horizontal="center" vertical="center"/>
    </xf>
    <xf numFmtId="0" fontId="10" fillId="0" borderId="5" xfId="49" applyFont="1" applyBorder="1" applyAlignment="1">
      <alignment horizontal="center" vertical="center"/>
    </xf>
    <xf numFmtId="0" fontId="10" fillId="0" borderId="6" xfId="49" applyFont="1" applyBorder="1" applyAlignment="1">
      <alignment horizontal="center" vertical="center"/>
    </xf>
    <xf numFmtId="178" fontId="9" fillId="6" borderId="3" xfId="49" applyNumberFormat="1" applyFont="1" applyFill="1" applyBorder="1" applyAlignment="1">
      <alignment horizontal="center" vertical="center"/>
    </xf>
    <xf numFmtId="58" fontId="9" fillId="6" borderId="7" xfId="49" applyNumberFormat="1" applyFont="1" applyFill="1" applyBorder="1" applyAlignment="1">
      <alignment horizontal="center" vertical="center" wrapText="1"/>
    </xf>
    <xf numFmtId="58" fontId="9" fillId="6" borderId="2" xfId="49" applyNumberFormat="1" applyFont="1" applyFill="1" applyBorder="1" applyAlignment="1">
      <alignment horizontal="center" vertical="center" wrapText="1"/>
    </xf>
    <xf numFmtId="178" fontId="9" fillId="6" borderId="8" xfId="49" applyNumberFormat="1" applyFont="1" applyFill="1" applyBorder="1" applyAlignment="1">
      <alignment horizontal="center" vertical="center" wrapText="1"/>
    </xf>
    <xf numFmtId="178" fontId="9" fillId="6" borderId="9" xfId="49" applyNumberFormat="1" applyFont="1" applyFill="1" applyBorder="1" applyAlignment="1">
      <alignment horizontal="center" vertical="center" wrapText="1"/>
    </xf>
    <xf numFmtId="178" fontId="9" fillId="6" borderId="1" xfId="49" applyNumberFormat="1" applyFont="1" applyFill="1" applyBorder="1" applyAlignment="1">
      <alignment horizontal="center" vertical="center" wrapText="1"/>
    </xf>
    <xf numFmtId="178" fontId="9" fillId="6" borderId="2" xfId="49" applyNumberFormat="1" applyFont="1" applyFill="1" applyBorder="1" applyAlignment="1">
      <alignment horizontal="center" vertical="center" wrapText="1"/>
    </xf>
    <xf numFmtId="178" fontId="9" fillId="6" borderId="10" xfId="49" applyNumberFormat="1" applyFont="1" applyFill="1" applyBorder="1" applyAlignment="1">
      <alignment horizontal="center" vertical="center" wrapText="1"/>
    </xf>
    <xf numFmtId="178" fontId="9" fillId="6" borderId="11" xfId="49" applyNumberFormat="1" applyFont="1" applyFill="1" applyBorder="1" applyAlignment="1">
      <alignment horizontal="center" vertical="center" wrapText="1"/>
    </xf>
    <xf numFmtId="178" fontId="9" fillId="6" borderId="12" xfId="49" applyNumberFormat="1" applyFont="1" applyFill="1" applyBorder="1" applyAlignment="1">
      <alignment horizontal="center" vertical="center" wrapText="1"/>
    </xf>
    <xf numFmtId="178" fontId="9" fillId="6" borderId="13" xfId="49" applyNumberFormat="1" applyFont="1" applyFill="1" applyBorder="1" applyAlignment="1">
      <alignment horizontal="center" vertical="center" wrapText="1"/>
    </xf>
    <xf numFmtId="178" fontId="9" fillId="6" borderId="14" xfId="49" applyNumberFormat="1" applyFont="1" applyFill="1" applyBorder="1" applyAlignment="1">
      <alignment horizontal="center" vertical="center" wrapText="1"/>
    </xf>
    <xf numFmtId="178" fontId="9" fillId="6" borderId="15" xfId="49" applyNumberFormat="1" applyFont="1" applyFill="1" applyBorder="1" applyAlignment="1">
      <alignment horizontal="center" vertical="center" wrapText="1"/>
    </xf>
    <xf numFmtId="178" fontId="9" fillId="6" borderId="16" xfId="49" applyNumberFormat="1" applyFont="1" applyFill="1" applyBorder="1" applyAlignment="1">
      <alignment horizontal="center" vertical="center" wrapText="1"/>
    </xf>
    <xf numFmtId="178" fontId="9" fillId="6" borderId="6" xfId="49" applyNumberFormat="1" applyFont="1" applyFill="1" applyBorder="1" applyAlignment="1">
      <alignment horizontal="center" vertical="center" wrapText="1"/>
    </xf>
    <xf numFmtId="178" fontId="8" fillId="6" borderId="2" xfId="49" applyNumberFormat="1" applyFont="1" applyFill="1" applyBorder="1" applyAlignment="1">
      <alignment horizontal="center" vertical="center"/>
    </xf>
    <xf numFmtId="0" fontId="9" fillId="6" borderId="2" xfId="49" applyNumberFormat="1" applyFont="1" applyFill="1" applyBorder="1" applyAlignment="1">
      <alignment horizontal="center" vertical="center" wrapText="1"/>
    </xf>
    <xf numFmtId="0" fontId="9" fillId="6" borderId="17" xfId="49" applyNumberFormat="1" applyFont="1" applyFill="1" applyBorder="1" applyAlignment="1">
      <alignment horizontal="center" vertical="center" wrapText="1"/>
    </xf>
    <xf numFmtId="0" fontId="9" fillId="6" borderId="1" xfId="49" applyNumberFormat="1" applyFont="1" applyFill="1" applyBorder="1" applyAlignment="1">
      <alignment horizontal="center" vertical="center" wrapText="1"/>
    </xf>
    <xf numFmtId="0" fontId="9" fillId="7" borderId="18" xfId="49" applyFont="1" applyFill="1" applyBorder="1" applyAlignment="1">
      <alignment horizontal="center" vertical="center"/>
    </xf>
    <xf numFmtId="0" fontId="9" fillId="7" borderId="19" xfId="49" applyFont="1" applyFill="1" applyBorder="1" applyAlignment="1">
      <alignment horizontal="center" vertical="center"/>
    </xf>
    <xf numFmtId="9" fontId="11" fillId="7" borderId="20" xfId="49" applyNumberFormat="1" applyFont="1" applyFill="1" applyBorder="1" applyAlignment="1">
      <alignment horizontal="center" vertical="center"/>
    </xf>
    <xf numFmtId="0" fontId="9" fillId="7" borderId="21" xfId="49" applyFont="1" applyFill="1" applyBorder="1" applyAlignment="1">
      <alignment horizontal="center" vertical="center"/>
    </xf>
    <xf numFmtId="0" fontId="9" fillId="5" borderId="22" xfId="49" applyFont="1" applyFill="1" applyBorder="1" applyAlignment="1">
      <alignment horizontal="center" vertical="center"/>
    </xf>
    <xf numFmtId="0" fontId="10" fillId="5" borderId="23" xfId="49" applyFont="1" applyFill="1" applyBorder="1" applyAlignment="1">
      <alignment horizontal="center" vertical="center"/>
    </xf>
    <xf numFmtId="0" fontId="10" fillId="5" borderId="24" xfId="49" applyFont="1" applyFill="1" applyBorder="1" applyAlignment="1">
      <alignment horizontal="center" vertical="center"/>
    </xf>
    <xf numFmtId="9" fontId="12" fillId="0" borderId="25" xfId="50" applyFont="1" applyFill="1" applyBorder="1" applyAlignment="1">
      <alignment horizontal="center" vertical="center"/>
    </xf>
    <xf numFmtId="0" fontId="8" fillId="5" borderId="25" xfId="49" applyFont="1" applyFill="1" applyBorder="1" applyAlignment="1">
      <alignment horizontal="center" vertical="center"/>
    </xf>
    <xf numFmtId="0" fontId="10" fillId="5" borderId="26" xfId="49" applyFont="1" applyFill="1" applyBorder="1" applyAlignment="1">
      <alignment horizontal="center" vertical="center"/>
    </xf>
    <xf numFmtId="0" fontId="10" fillId="5" borderId="27" xfId="49" applyFont="1" applyFill="1" applyBorder="1" applyAlignment="1">
      <alignment horizontal="center" vertical="center"/>
    </xf>
    <xf numFmtId="0" fontId="9" fillId="5" borderId="25" xfId="49" applyFont="1" applyFill="1" applyBorder="1" applyAlignment="1">
      <alignment horizontal="center" vertical="center"/>
    </xf>
    <xf numFmtId="0" fontId="9" fillId="5" borderId="28" xfId="49" applyFont="1" applyFill="1" applyBorder="1" applyAlignment="1">
      <alignment horizontal="center" vertical="center"/>
    </xf>
    <xf numFmtId="0" fontId="10" fillId="5" borderId="29" xfId="49" applyFont="1" applyFill="1" applyBorder="1" applyAlignment="1">
      <alignment horizontal="center" vertical="center"/>
    </xf>
    <xf numFmtId="0" fontId="10" fillId="5" borderId="30" xfId="49" applyFont="1" applyFill="1" applyBorder="1" applyAlignment="1">
      <alignment horizontal="center" vertical="center"/>
    </xf>
    <xf numFmtId="0" fontId="8" fillId="5" borderId="28" xfId="49" applyFont="1" applyFill="1" applyBorder="1" applyAlignment="1">
      <alignment horizontal="center" vertical="center"/>
    </xf>
    <xf numFmtId="0" fontId="9" fillId="5" borderId="31" xfId="49" applyFont="1" applyFill="1" applyBorder="1" applyAlignment="1">
      <alignment horizontal="center" vertical="center"/>
    </xf>
    <xf numFmtId="0" fontId="10" fillId="5" borderId="32" xfId="49" applyFont="1" applyFill="1" applyBorder="1" applyAlignment="1">
      <alignment horizontal="center" vertical="center"/>
    </xf>
    <xf numFmtId="0" fontId="10" fillId="5" borderId="33" xfId="49" applyFont="1" applyFill="1" applyBorder="1" applyAlignment="1">
      <alignment horizontal="center" vertical="center"/>
    </xf>
    <xf numFmtId="9" fontId="12" fillId="0" borderId="31" xfId="50" applyFont="1" applyFill="1" applyBorder="1" applyAlignment="1">
      <alignment horizontal="center" vertical="center"/>
    </xf>
    <xf numFmtId="58" fontId="9" fillId="6" borderId="17" xfId="49" applyNumberFormat="1" applyFont="1" applyFill="1" applyBorder="1" applyAlignment="1">
      <alignment horizontal="center" vertical="center" wrapText="1"/>
    </xf>
    <xf numFmtId="178" fontId="9" fillId="6" borderId="17" xfId="49" applyNumberFormat="1" applyFont="1" applyFill="1" applyBorder="1" applyAlignment="1">
      <alignment horizontal="center" vertical="center" wrapText="1"/>
    </xf>
    <xf numFmtId="0" fontId="10" fillId="5" borderId="5" xfId="49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Percent 2" xfId="5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Qu&#7923;nh\1.%20TUY&#7874;N%20D&#7908;NG%20V&#192;%20&#272;&#192;O%20T&#7840;O\1.%20C&#244;ng%20nh&#226;n%20m&#7899;i\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BE21"/>
  <sheetViews>
    <sheetView showGridLines="0" tabSelected="1" workbookViewId="0">
      <pane xSplit="9" ySplit="9" topLeftCell="X10" activePane="bottomRight" state="frozen"/>
      <selection/>
      <selection pane="topRight"/>
      <selection pane="bottomLeft"/>
      <selection pane="bottomRight" activeCell="I1" sqref="I$1:L$1048576"/>
    </sheetView>
  </sheetViews>
  <sheetFormatPr defaultColWidth="4.28571428571429" defaultRowHeight="15.75"/>
  <cols>
    <col min="1" max="1" width="2.85714285714286" style="15" customWidth="1"/>
    <col min="2" max="2" width="5.57142857142857" style="15" hidden="1" customWidth="1"/>
    <col min="3" max="3" width="6" style="15" hidden="1" customWidth="1"/>
    <col min="4" max="4" width="5.57142857142857" style="15" hidden="1" customWidth="1"/>
    <col min="5" max="5" width="8" style="15" hidden="1" customWidth="1"/>
    <col min="6" max="6" width="7.14285714285714" style="15" hidden="1" customWidth="1"/>
    <col min="7" max="7" width="4.42857142857143" style="15" hidden="1" customWidth="1"/>
    <col min="8" max="8" width="7.71428571428571" style="16" customWidth="1"/>
    <col min="9" max="9" width="12.7142857142857" style="16" customWidth="1"/>
    <col min="10" max="20" width="9" style="16" customWidth="1"/>
    <col min="21" max="21" width="11.2857142857143" style="16" customWidth="1"/>
    <col min="22" max="32" width="9" style="16" customWidth="1"/>
    <col min="33" max="33" width="11.2857142857143" style="16" customWidth="1"/>
    <col min="34" max="45" width="7.71428571428571" style="15" customWidth="1"/>
    <col min="46" max="53" width="7.28571428571429" style="15" customWidth="1"/>
    <col min="54" max="57" width="7.28571428571429" style="15" hidden="1" customWidth="1"/>
    <col min="58" max="16384" width="4.28571428571429" style="15"/>
  </cols>
  <sheetData>
    <row r="1" s="14" customFormat="1" customHeight="1" spans="8:33">
      <c r="H1" s="17"/>
      <c r="I1" s="17"/>
      <c r="J1" s="14" t="s">
        <v>0</v>
      </c>
      <c r="K1" s="14" t="s">
        <v>1</v>
      </c>
      <c r="M1" s="14" t="s">
        <v>2</v>
      </c>
      <c r="N1" s="14" t="s">
        <v>3</v>
      </c>
      <c r="O1" s="14" t="s">
        <v>4</v>
      </c>
      <c r="Q1" s="14" t="s">
        <v>5</v>
      </c>
      <c r="R1" s="14" t="s">
        <v>6</v>
      </c>
      <c r="S1" s="14" t="s">
        <v>7</v>
      </c>
      <c r="U1" s="14" t="s">
        <v>8</v>
      </c>
      <c r="V1" s="14" t="s">
        <v>0</v>
      </c>
      <c r="W1" s="14" t="s">
        <v>1</v>
      </c>
      <c r="Y1" s="14" t="s">
        <v>2</v>
      </c>
      <c r="Z1" s="14" t="s">
        <v>3</v>
      </c>
      <c r="AA1" s="14" t="s">
        <v>4</v>
      </c>
      <c r="AC1" s="14" t="s">
        <v>5</v>
      </c>
      <c r="AD1" s="14" t="s">
        <v>6</v>
      </c>
      <c r="AE1" s="14" t="s">
        <v>7</v>
      </c>
      <c r="AG1" s="14" t="s">
        <v>8</v>
      </c>
    </row>
    <row r="2" ht="18.75" customHeight="1" spans="8:33">
      <c r="H2" s="18" t="s">
        <v>9</v>
      </c>
      <c r="I2" s="18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ht="10.5" customHeight="1" spans="8:33"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29.25" customHeight="1" spans="8:57">
      <c r="H4" s="20" t="s">
        <v>10</v>
      </c>
      <c r="I4" s="26" t="s">
        <v>11</v>
      </c>
      <c r="J4" s="27" t="s">
        <v>12</v>
      </c>
      <c r="K4" s="27"/>
      <c r="L4" s="27"/>
      <c r="M4" s="27"/>
      <c r="N4" s="28"/>
      <c r="O4" s="28"/>
      <c r="P4" s="28"/>
      <c r="Q4" s="28"/>
      <c r="R4" s="28"/>
      <c r="S4" s="28"/>
      <c r="T4" s="28"/>
      <c r="U4" s="65"/>
      <c r="V4" s="27" t="s">
        <v>13</v>
      </c>
      <c r="W4" s="27"/>
      <c r="X4" s="27"/>
      <c r="Y4" s="27"/>
      <c r="Z4" s="28"/>
      <c r="AA4" s="28"/>
      <c r="AB4" s="28"/>
      <c r="AC4" s="28"/>
      <c r="AD4" s="28"/>
      <c r="AE4" s="28"/>
      <c r="AF4" s="28"/>
      <c r="AG4" s="65"/>
      <c r="AH4" s="27">
        <v>46046</v>
      </c>
      <c r="AI4" s="27"/>
      <c r="AJ4" s="27"/>
      <c r="AK4" s="27"/>
      <c r="AL4" s="28"/>
      <c r="AM4" s="28"/>
      <c r="AN4" s="28"/>
      <c r="AO4" s="28"/>
      <c r="AP4" s="28"/>
      <c r="AQ4" s="28"/>
      <c r="AR4" s="28"/>
      <c r="AS4" s="65"/>
      <c r="AT4" s="27">
        <v>46048</v>
      </c>
      <c r="AU4" s="27"/>
      <c r="AV4" s="27"/>
      <c r="AW4" s="27"/>
      <c r="AX4" s="28"/>
      <c r="AY4" s="28"/>
      <c r="AZ4" s="28"/>
      <c r="BA4" s="28"/>
      <c r="BB4" s="28"/>
      <c r="BC4" s="28"/>
      <c r="BD4" s="28"/>
      <c r="BE4" s="65"/>
    </row>
    <row r="5" ht="29.25" customHeight="1" spans="8:57">
      <c r="H5" s="20"/>
      <c r="I5" s="26"/>
      <c r="J5" s="29" t="s">
        <v>14</v>
      </c>
      <c r="K5" s="29"/>
      <c r="L5" s="29"/>
      <c r="M5" s="30"/>
      <c r="N5" s="31" t="s">
        <v>15</v>
      </c>
      <c r="O5" s="32"/>
      <c r="P5" s="32"/>
      <c r="Q5" s="66"/>
      <c r="R5" s="31" t="s">
        <v>16</v>
      </c>
      <c r="S5" s="32"/>
      <c r="T5" s="32"/>
      <c r="U5" s="66"/>
      <c r="V5" s="29" t="s">
        <v>14</v>
      </c>
      <c r="W5" s="29"/>
      <c r="X5" s="29"/>
      <c r="Y5" s="30"/>
      <c r="Z5" s="31" t="s">
        <v>15</v>
      </c>
      <c r="AA5" s="32"/>
      <c r="AB5" s="32"/>
      <c r="AC5" s="66"/>
      <c r="AD5" s="31" t="s">
        <v>16</v>
      </c>
      <c r="AE5" s="32"/>
      <c r="AF5" s="32"/>
      <c r="AG5" s="66"/>
      <c r="AH5" s="29" t="s">
        <v>14</v>
      </c>
      <c r="AI5" s="29"/>
      <c r="AJ5" s="29"/>
      <c r="AK5" s="30"/>
      <c r="AL5" s="31" t="s">
        <v>15</v>
      </c>
      <c r="AM5" s="32"/>
      <c r="AN5" s="32"/>
      <c r="AO5" s="66"/>
      <c r="AP5" s="31" t="s">
        <v>16</v>
      </c>
      <c r="AQ5" s="32"/>
      <c r="AR5" s="32"/>
      <c r="AS5" s="66"/>
      <c r="AT5" s="29" t="s">
        <v>14</v>
      </c>
      <c r="AU5" s="29"/>
      <c r="AV5" s="29"/>
      <c r="AW5" s="30"/>
      <c r="AX5" s="31" t="s">
        <v>15</v>
      </c>
      <c r="AY5" s="32"/>
      <c r="AZ5" s="32"/>
      <c r="BA5" s="66"/>
      <c r="BB5" s="31" t="s">
        <v>16</v>
      </c>
      <c r="BC5" s="32"/>
      <c r="BD5" s="32"/>
      <c r="BE5" s="66"/>
    </row>
    <row r="6" ht="29.25" customHeight="1" spans="8:57">
      <c r="H6" s="20"/>
      <c r="I6" s="26"/>
      <c r="J6" s="33" t="s">
        <v>17</v>
      </c>
      <c r="K6" s="34" t="s">
        <v>18</v>
      </c>
      <c r="L6" s="34" t="s">
        <v>19</v>
      </c>
      <c r="M6" s="35" t="s">
        <v>20</v>
      </c>
      <c r="N6" s="36" t="s">
        <v>17</v>
      </c>
      <c r="O6" s="34" t="s">
        <v>18</v>
      </c>
      <c r="P6" s="34" t="s">
        <v>19</v>
      </c>
      <c r="Q6" s="35" t="s">
        <v>20</v>
      </c>
      <c r="R6" s="36" t="s">
        <v>17</v>
      </c>
      <c r="S6" s="34" t="s">
        <v>18</v>
      </c>
      <c r="T6" s="34" t="s">
        <v>19</v>
      </c>
      <c r="U6" s="35" t="s">
        <v>20</v>
      </c>
      <c r="V6" s="33" t="s">
        <v>17</v>
      </c>
      <c r="W6" s="34" t="s">
        <v>18</v>
      </c>
      <c r="X6" s="34" t="s">
        <v>19</v>
      </c>
      <c r="Y6" s="35" t="s">
        <v>20</v>
      </c>
      <c r="Z6" s="36" t="s">
        <v>17</v>
      </c>
      <c r="AA6" s="34" t="s">
        <v>18</v>
      </c>
      <c r="AB6" s="34" t="s">
        <v>19</v>
      </c>
      <c r="AC6" s="35" t="s">
        <v>20</v>
      </c>
      <c r="AD6" s="36" t="s">
        <v>17</v>
      </c>
      <c r="AE6" s="34" t="s">
        <v>18</v>
      </c>
      <c r="AF6" s="34" t="s">
        <v>19</v>
      </c>
      <c r="AG6" s="35" t="s">
        <v>20</v>
      </c>
      <c r="AH6" s="33" t="s">
        <v>17</v>
      </c>
      <c r="AI6" s="34" t="s">
        <v>18</v>
      </c>
      <c r="AJ6" s="34" t="s">
        <v>19</v>
      </c>
      <c r="AK6" s="35" t="s">
        <v>20</v>
      </c>
      <c r="AL6" s="36" t="s">
        <v>17</v>
      </c>
      <c r="AM6" s="34" t="s">
        <v>18</v>
      </c>
      <c r="AN6" s="34" t="s">
        <v>19</v>
      </c>
      <c r="AO6" s="35" t="s">
        <v>20</v>
      </c>
      <c r="AP6" s="36" t="s">
        <v>17</v>
      </c>
      <c r="AQ6" s="34" t="s">
        <v>18</v>
      </c>
      <c r="AR6" s="34" t="s">
        <v>19</v>
      </c>
      <c r="AS6" s="35" t="s">
        <v>20</v>
      </c>
      <c r="AT6" s="33" t="s">
        <v>17</v>
      </c>
      <c r="AU6" s="34" t="s">
        <v>18</v>
      </c>
      <c r="AV6" s="34" t="s">
        <v>19</v>
      </c>
      <c r="AW6" s="35" t="s">
        <v>20</v>
      </c>
      <c r="AX6" s="36" t="s">
        <v>17</v>
      </c>
      <c r="AY6" s="34" t="s">
        <v>18</v>
      </c>
      <c r="AZ6" s="34" t="s">
        <v>19</v>
      </c>
      <c r="BA6" s="35" t="s">
        <v>20</v>
      </c>
      <c r="BB6" s="36" t="s">
        <v>17</v>
      </c>
      <c r="BC6" s="34" t="s">
        <v>18</v>
      </c>
      <c r="BD6" s="34" t="s">
        <v>19</v>
      </c>
      <c r="BE6" s="35" t="s">
        <v>20</v>
      </c>
    </row>
    <row r="7" ht="29.25" customHeight="1" spans="8:57">
      <c r="H7" s="20"/>
      <c r="I7" s="26"/>
      <c r="J7" s="37"/>
      <c r="K7" s="38"/>
      <c r="L7" s="38"/>
      <c r="M7" s="39"/>
      <c r="N7" s="40"/>
      <c r="O7" s="38"/>
      <c r="P7" s="38"/>
      <c r="Q7" s="39"/>
      <c r="R7" s="40"/>
      <c r="S7" s="38"/>
      <c r="T7" s="38"/>
      <c r="U7" s="39"/>
      <c r="V7" s="37"/>
      <c r="W7" s="38"/>
      <c r="X7" s="38"/>
      <c r="Y7" s="39"/>
      <c r="Z7" s="40"/>
      <c r="AA7" s="38"/>
      <c r="AB7" s="38"/>
      <c r="AC7" s="39"/>
      <c r="AD7" s="40"/>
      <c r="AE7" s="38"/>
      <c r="AF7" s="38"/>
      <c r="AG7" s="39"/>
      <c r="AH7" s="37"/>
      <c r="AI7" s="38"/>
      <c r="AJ7" s="38"/>
      <c r="AK7" s="39"/>
      <c r="AL7" s="40"/>
      <c r="AM7" s="38"/>
      <c r="AN7" s="38"/>
      <c r="AO7" s="39"/>
      <c r="AP7" s="40"/>
      <c r="AQ7" s="38"/>
      <c r="AR7" s="38"/>
      <c r="AS7" s="39"/>
      <c r="AT7" s="37"/>
      <c r="AU7" s="38"/>
      <c r="AV7" s="38"/>
      <c r="AW7" s="39"/>
      <c r="AX7" s="40"/>
      <c r="AY7" s="38"/>
      <c r="AZ7" s="38"/>
      <c r="BA7" s="39"/>
      <c r="BB7" s="40"/>
      <c r="BC7" s="38"/>
      <c r="BD7" s="38"/>
      <c r="BE7" s="39"/>
    </row>
    <row r="8" ht="29.25" customHeight="1" spans="8:57">
      <c r="H8" s="21" t="s">
        <v>21</v>
      </c>
      <c r="I8" s="41"/>
      <c r="J8" s="42">
        <f>+N8+R8</f>
        <v>120</v>
      </c>
      <c r="K8" s="42"/>
      <c r="L8" s="42"/>
      <c r="M8" s="43"/>
      <c r="N8" s="44">
        <v>60</v>
      </c>
      <c r="O8" s="42"/>
      <c r="P8" s="42"/>
      <c r="Q8" s="43"/>
      <c r="R8" s="44">
        <v>60</v>
      </c>
      <c r="S8" s="42"/>
      <c r="T8" s="42"/>
      <c r="U8" s="43"/>
      <c r="V8" s="42">
        <f>+Z8+AD8</f>
        <v>150</v>
      </c>
      <c r="W8" s="42"/>
      <c r="X8" s="42"/>
      <c r="Y8" s="43"/>
      <c r="Z8" s="44">
        <v>80</v>
      </c>
      <c r="AA8" s="42"/>
      <c r="AB8" s="42"/>
      <c r="AC8" s="43"/>
      <c r="AD8" s="44">
        <v>70</v>
      </c>
      <c r="AE8" s="42"/>
      <c r="AF8" s="42"/>
      <c r="AG8" s="43"/>
      <c r="AH8" s="42">
        <f>+AL8+AP8</f>
        <v>130</v>
      </c>
      <c r="AI8" s="42"/>
      <c r="AJ8" s="42"/>
      <c r="AK8" s="43"/>
      <c r="AL8" s="44">
        <v>100</v>
      </c>
      <c r="AM8" s="42"/>
      <c r="AN8" s="42"/>
      <c r="AO8" s="43"/>
      <c r="AP8" s="44">
        <v>30</v>
      </c>
      <c r="AQ8" s="42"/>
      <c r="AR8" s="42"/>
      <c r="AS8" s="43"/>
      <c r="AT8" s="42">
        <f>+AX8+BB8</f>
        <v>60</v>
      </c>
      <c r="AU8" s="42"/>
      <c r="AV8" s="42"/>
      <c r="AW8" s="43"/>
      <c r="AX8" s="44">
        <v>60</v>
      </c>
      <c r="AY8" s="42"/>
      <c r="AZ8" s="42"/>
      <c r="BA8" s="43"/>
      <c r="BB8" s="44"/>
      <c r="BC8" s="42"/>
      <c r="BD8" s="42"/>
      <c r="BE8" s="43"/>
    </row>
    <row r="9" ht="29.25" customHeight="1" spans="8:57">
      <c r="H9" s="22" t="s">
        <v>22</v>
      </c>
      <c r="I9" s="22"/>
      <c r="J9" s="45">
        <f>SUM(J10:J21)</f>
        <v>68</v>
      </c>
      <c r="K9" s="46">
        <f>SUM(K10:K21)</f>
        <v>140</v>
      </c>
      <c r="L9" s="46">
        <f>SUM(L10:L21)</f>
        <v>20</v>
      </c>
      <c r="M9" s="47">
        <f>IFERROR(L9/J9,0)</f>
        <v>0.294117647058824</v>
      </c>
      <c r="N9" s="48">
        <f>SUM(N10:N21)</f>
        <v>0</v>
      </c>
      <c r="O9" s="46">
        <f>SUM(O10:O21)</f>
        <v>0</v>
      </c>
      <c r="P9" s="46">
        <f>SUM(P10:P21)</f>
        <v>0</v>
      </c>
      <c r="Q9" s="47">
        <f>IFERROR(P9/N9,0)</f>
        <v>0</v>
      </c>
      <c r="R9" s="48">
        <f t="shared" ref="R9:X9" si="0">SUM(R10:R21)</f>
        <v>68</v>
      </c>
      <c r="S9" s="46">
        <f t="shared" si="0"/>
        <v>140</v>
      </c>
      <c r="T9" s="46">
        <f t="shared" si="0"/>
        <v>20</v>
      </c>
      <c r="U9" s="47">
        <f>IFERROR(T9/R9,0)</f>
        <v>0.294117647058824</v>
      </c>
      <c r="V9" s="45">
        <f t="shared" si="0"/>
        <v>167</v>
      </c>
      <c r="W9" s="46">
        <f t="shared" si="0"/>
        <v>87</v>
      </c>
      <c r="X9" s="46">
        <f t="shared" si="0"/>
        <v>100</v>
      </c>
      <c r="Y9" s="47">
        <f t="shared" ref="Y9:Y21" si="1">IFERROR(X9/V9,0)</f>
        <v>0.598802395209581</v>
      </c>
      <c r="Z9" s="48">
        <f t="shared" ref="Z9:AB9" si="2">SUM(Z10:Z21)</f>
        <v>80</v>
      </c>
      <c r="AA9" s="46">
        <f t="shared" si="2"/>
        <v>0</v>
      </c>
      <c r="AB9" s="46">
        <f t="shared" si="2"/>
        <v>15</v>
      </c>
      <c r="AC9" s="47">
        <f t="shared" ref="AC9:AC21" si="3">IFERROR(AB9/Z9,0)</f>
        <v>0.1875</v>
      </c>
      <c r="AD9" s="48">
        <f t="shared" ref="AD9:AF9" si="4">SUM(AD10:AD21)</f>
        <v>87</v>
      </c>
      <c r="AE9" s="46">
        <f t="shared" si="4"/>
        <v>87</v>
      </c>
      <c r="AF9" s="46">
        <f t="shared" si="4"/>
        <v>85</v>
      </c>
      <c r="AG9" s="47">
        <f t="shared" ref="AG9:AG21" si="5">IFERROR(AF9/AD9,0)</f>
        <v>0.977011494252874</v>
      </c>
      <c r="AH9" s="45">
        <f t="shared" ref="AH9:AJ9" si="6">SUM(AH10:AH21)</f>
        <v>170</v>
      </c>
      <c r="AI9" s="46">
        <f t="shared" si="6"/>
        <v>163</v>
      </c>
      <c r="AJ9" s="46">
        <f t="shared" si="6"/>
        <v>119</v>
      </c>
      <c r="AK9" s="47">
        <f t="shared" ref="AK9:AK21" si="7">IFERROR(AJ9/AH9,0)</f>
        <v>0.7</v>
      </c>
      <c r="AL9" s="48">
        <f t="shared" ref="AL9:AN9" si="8">SUM(AL10:AL21)</f>
        <v>157</v>
      </c>
      <c r="AM9" s="46">
        <f t="shared" si="8"/>
        <v>153</v>
      </c>
      <c r="AN9" s="46">
        <f t="shared" si="8"/>
        <v>109</v>
      </c>
      <c r="AO9" s="47">
        <f t="shared" ref="AO9:AO21" si="9">IFERROR(AN9/AL9,0)</f>
        <v>0.694267515923567</v>
      </c>
      <c r="AP9" s="48">
        <f t="shared" ref="AP9:AR9" si="10">SUM(AP10:AP21)</f>
        <v>13</v>
      </c>
      <c r="AQ9" s="46">
        <f t="shared" si="10"/>
        <v>10</v>
      </c>
      <c r="AR9" s="46">
        <f t="shared" si="10"/>
        <v>10</v>
      </c>
      <c r="AS9" s="47">
        <f t="shared" ref="AS9:AS21" si="11">IFERROR(AR9/AP9,0)</f>
        <v>0.769230769230769</v>
      </c>
      <c r="AT9" s="45">
        <f t="shared" ref="AT9:AV9" si="12">SUM(AT10:AT21)</f>
        <v>60</v>
      </c>
      <c r="AU9" s="46">
        <f t="shared" si="12"/>
        <v>0</v>
      </c>
      <c r="AV9" s="46">
        <f t="shared" si="12"/>
        <v>5</v>
      </c>
      <c r="AW9" s="47">
        <f t="shared" ref="AW9:AW21" si="13">IFERROR(AV9/AT9,0)</f>
        <v>0.0833333333333333</v>
      </c>
      <c r="AX9" s="48">
        <f t="shared" ref="AX9:AZ9" si="14">SUM(AX10:AX21)</f>
        <v>60</v>
      </c>
      <c r="AY9" s="46">
        <f t="shared" si="14"/>
        <v>0</v>
      </c>
      <c r="AZ9" s="46">
        <f t="shared" si="14"/>
        <v>5</v>
      </c>
      <c r="BA9" s="47">
        <f t="shared" ref="BA9:BA21" si="15">IFERROR(AZ9/AX9,0)</f>
        <v>0.0833333333333333</v>
      </c>
      <c r="BB9" s="48">
        <f t="shared" ref="BB9:BD9" si="16">SUM(BB10:BB21)</f>
        <v>0</v>
      </c>
      <c r="BC9" s="46">
        <f t="shared" si="16"/>
        <v>0</v>
      </c>
      <c r="BD9" s="46">
        <f t="shared" si="16"/>
        <v>0</v>
      </c>
      <c r="BE9" s="47">
        <f t="shared" ref="BE9:BE21" si="17">IFERROR(BD9/BB9,0)</f>
        <v>0</v>
      </c>
    </row>
    <row r="10" ht="29.25" customHeight="1" spans="6:57">
      <c r="F10" s="15">
        <v>9</v>
      </c>
      <c r="G10" s="15">
        <v>11</v>
      </c>
      <c r="H10" s="23">
        <v>1</v>
      </c>
      <c r="I10" s="49" t="s">
        <v>23</v>
      </c>
      <c r="J10" s="50">
        <f>+N10+R10</f>
        <v>12</v>
      </c>
      <c r="K10" s="50">
        <f>+O10+S10</f>
        <v>20</v>
      </c>
      <c r="L10" s="51">
        <f>+P10+T10</f>
        <v>3</v>
      </c>
      <c r="M10" s="52">
        <f>IFERROR(L10/J10,0)</f>
        <v>0.25</v>
      </c>
      <c r="N10" s="50"/>
      <c r="O10" s="50"/>
      <c r="P10" s="51"/>
      <c r="Q10" s="52">
        <f>IFERROR(P10/N10,0)</f>
        <v>0</v>
      </c>
      <c r="R10" s="50">
        <v>12</v>
      </c>
      <c r="S10" s="50">
        <v>20</v>
      </c>
      <c r="T10" s="51">
        <v>3</v>
      </c>
      <c r="U10" s="52">
        <f>IFERROR(T10/R10,0)</f>
        <v>0.25</v>
      </c>
      <c r="V10" s="50">
        <f t="shared" ref="V10:X10" si="18">+Z10+AD10</f>
        <v>20</v>
      </c>
      <c r="W10" s="50">
        <f t="shared" si="18"/>
        <v>12</v>
      </c>
      <c r="X10" s="51">
        <f t="shared" si="18"/>
        <v>15</v>
      </c>
      <c r="Y10" s="52">
        <f t="shared" si="1"/>
        <v>0.75</v>
      </c>
      <c r="Z10" s="50">
        <v>8</v>
      </c>
      <c r="AA10" s="50">
        <v>0</v>
      </c>
      <c r="AB10" s="51">
        <v>1</v>
      </c>
      <c r="AC10" s="52">
        <f t="shared" si="3"/>
        <v>0.125</v>
      </c>
      <c r="AD10" s="50">
        <v>12</v>
      </c>
      <c r="AE10" s="50">
        <v>12</v>
      </c>
      <c r="AF10" s="51">
        <v>14</v>
      </c>
      <c r="AG10" s="52">
        <f t="shared" si="5"/>
        <v>1.16666666666667</v>
      </c>
      <c r="AH10" s="50">
        <f t="shared" ref="AH10:AH21" si="19">+AL10+AP10</f>
        <v>20</v>
      </c>
      <c r="AI10" s="50">
        <f t="shared" ref="AI10:AI21" si="20">+AM10+AQ10</f>
        <v>20</v>
      </c>
      <c r="AJ10" s="51">
        <f t="shared" ref="AJ10:AJ21" si="21">+AN10+AR10</f>
        <v>22</v>
      </c>
      <c r="AK10" s="52">
        <f t="shared" si="7"/>
        <v>1.1</v>
      </c>
      <c r="AL10" s="50">
        <v>18</v>
      </c>
      <c r="AM10" s="50">
        <v>18</v>
      </c>
      <c r="AN10" s="50">
        <v>20</v>
      </c>
      <c r="AO10" s="52">
        <f t="shared" si="9"/>
        <v>1.11111111111111</v>
      </c>
      <c r="AP10" s="50">
        <v>2</v>
      </c>
      <c r="AQ10" s="50">
        <v>2</v>
      </c>
      <c r="AR10" s="50">
        <v>2</v>
      </c>
      <c r="AS10" s="52">
        <f t="shared" si="11"/>
        <v>1</v>
      </c>
      <c r="AT10" s="50">
        <f t="shared" ref="AT10:AV10" si="22">+AX10+BB10</f>
        <v>6</v>
      </c>
      <c r="AU10" s="50">
        <f t="shared" si="22"/>
        <v>0</v>
      </c>
      <c r="AV10" s="51">
        <f t="shared" si="22"/>
        <v>0</v>
      </c>
      <c r="AW10" s="52">
        <f t="shared" si="13"/>
        <v>0</v>
      </c>
      <c r="AX10" s="50">
        <v>6</v>
      </c>
      <c r="AY10" s="50">
        <v>0</v>
      </c>
      <c r="AZ10" s="50">
        <v>0</v>
      </c>
      <c r="BA10" s="52">
        <f t="shared" si="15"/>
        <v>0</v>
      </c>
      <c r="BB10" s="50"/>
      <c r="BC10" s="50"/>
      <c r="BD10" s="50"/>
      <c r="BE10" s="52">
        <f t="shared" si="17"/>
        <v>0</v>
      </c>
    </row>
    <row r="11" ht="29.25" customHeight="1" spans="6:57">
      <c r="F11" s="15">
        <v>1</v>
      </c>
      <c r="G11" s="15">
        <v>2</v>
      </c>
      <c r="H11" s="24">
        <v>2</v>
      </c>
      <c r="I11" s="53" t="s">
        <v>24</v>
      </c>
      <c r="J11" s="54">
        <f t="shared" ref="J11:J21" si="23">+N11+R11</f>
        <v>8</v>
      </c>
      <c r="K11" s="54">
        <f t="shared" ref="K11:K21" si="24">+O11+S11</f>
        <v>20</v>
      </c>
      <c r="L11" s="55">
        <f t="shared" ref="L11:L21" si="25">+P11+T11</f>
        <v>5</v>
      </c>
      <c r="M11" s="52">
        <f t="shared" ref="M11:M21" si="26">IFERROR(L11/J11,0)</f>
        <v>0.625</v>
      </c>
      <c r="N11" s="50"/>
      <c r="O11" s="50"/>
      <c r="P11" s="55"/>
      <c r="Q11" s="52">
        <f t="shared" ref="Q11:Q21" si="27">IFERROR(P11/N11,0)</f>
        <v>0</v>
      </c>
      <c r="R11" s="54">
        <v>8</v>
      </c>
      <c r="S11" s="54">
        <v>20</v>
      </c>
      <c r="T11" s="55">
        <v>5</v>
      </c>
      <c r="U11" s="52">
        <f t="shared" ref="U11:U21" si="28">IFERROR(T11/R11,0)</f>
        <v>0.625</v>
      </c>
      <c r="V11" s="54">
        <f t="shared" ref="V11:X11" si="29">+Z11+AD11</f>
        <v>18</v>
      </c>
      <c r="W11" s="54">
        <f t="shared" si="29"/>
        <v>10</v>
      </c>
      <c r="X11" s="55">
        <f t="shared" si="29"/>
        <v>16</v>
      </c>
      <c r="Y11" s="52">
        <f t="shared" si="1"/>
        <v>0.888888888888889</v>
      </c>
      <c r="Z11" s="50">
        <v>8</v>
      </c>
      <c r="AA11" s="50">
        <v>0</v>
      </c>
      <c r="AB11" s="55">
        <v>2</v>
      </c>
      <c r="AC11" s="52">
        <f t="shared" si="3"/>
        <v>0.25</v>
      </c>
      <c r="AD11" s="54">
        <v>10</v>
      </c>
      <c r="AE11" s="54">
        <v>10</v>
      </c>
      <c r="AF11" s="55">
        <v>14</v>
      </c>
      <c r="AG11" s="52">
        <f t="shared" si="5"/>
        <v>1.4</v>
      </c>
      <c r="AH11" s="54">
        <f t="shared" si="19"/>
        <v>11</v>
      </c>
      <c r="AI11" s="54">
        <f t="shared" si="20"/>
        <v>11</v>
      </c>
      <c r="AJ11" s="55">
        <f t="shared" si="21"/>
        <v>2</v>
      </c>
      <c r="AK11" s="52">
        <f t="shared" si="7"/>
        <v>0.181818181818182</v>
      </c>
      <c r="AL11" s="50">
        <v>10</v>
      </c>
      <c r="AM11" s="50">
        <v>10</v>
      </c>
      <c r="AN11" s="50">
        <v>2</v>
      </c>
      <c r="AO11" s="52">
        <f t="shared" si="9"/>
        <v>0.2</v>
      </c>
      <c r="AP11" s="50">
        <v>1</v>
      </c>
      <c r="AQ11" s="50">
        <v>1</v>
      </c>
      <c r="AR11" s="50">
        <v>0</v>
      </c>
      <c r="AS11" s="52">
        <f t="shared" si="11"/>
        <v>0</v>
      </c>
      <c r="AT11" s="54">
        <f t="shared" ref="AT11:AV11" si="30">+AX11+BB11</f>
        <v>6</v>
      </c>
      <c r="AU11" s="54">
        <f t="shared" si="30"/>
        <v>0</v>
      </c>
      <c r="AV11" s="55">
        <f t="shared" si="30"/>
        <v>1</v>
      </c>
      <c r="AW11" s="52">
        <f t="shared" si="13"/>
        <v>0.166666666666667</v>
      </c>
      <c r="AX11" s="50">
        <v>6</v>
      </c>
      <c r="AY11" s="50">
        <v>0</v>
      </c>
      <c r="AZ11" s="50">
        <v>1</v>
      </c>
      <c r="BA11" s="52">
        <f t="shared" si="15"/>
        <v>0.166666666666667</v>
      </c>
      <c r="BB11" s="50"/>
      <c r="BC11" s="50"/>
      <c r="BD11" s="50"/>
      <c r="BE11" s="52">
        <f t="shared" si="17"/>
        <v>0</v>
      </c>
    </row>
    <row r="12" ht="29.25" customHeight="1" spans="7:57">
      <c r="G12" s="15">
        <v>4</v>
      </c>
      <c r="H12" s="23">
        <v>3</v>
      </c>
      <c r="I12" s="56" t="s">
        <v>25</v>
      </c>
      <c r="J12" s="54">
        <f t="shared" si="23"/>
        <v>3</v>
      </c>
      <c r="K12" s="54">
        <f t="shared" si="24"/>
        <v>3</v>
      </c>
      <c r="L12" s="55">
        <f t="shared" si="25"/>
        <v>2</v>
      </c>
      <c r="M12" s="52">
        <f t="shared" si="26"/>
        <v>0.666666666666667</v>
      </c>
      <c r="N12" s="50"/>
      <c r="O12" s="50"/>
      <c r="P12" s="55"/>
      <c r="Q12" s="52">
        <f t="shared" si="27"/>
        <v>0</v>
      </c>
      <c r="R12" s="54">
        <v>3</v>
      </c>
      <c r="S12" s="54">
        <v>3</v>
      </c>
      <c r="T12" s="55">
        <v>2</v>
      </c>
      <c r="U12" s="52">
        <f t="shared" si="28"/>
        <v>0.666666666666667</v>
      </c>
      <c r="V12" s="54">
        <f t="shared" ref="V12:X12" si="31">+Z12+AD12</f>
        <v>7</v>
      </c>
      <c r="W12" s="54">
        <f t="shared" si="31"/>
        <v>0</v>
      </c>
      <c r="X12" s="55">
        <f t="shared" si="31"/>
        <v>0</v>
      </c>
      <c r="Y12" s="52">
        <f t="shared" si="1"/>
        <v>0</v>
      </c>
      <c r="Z12" s="50">
        <v>7</v>
      </c>
      <c r="AA12" s="50">
        <v>0</v>
      </c>
      <c r="AB12" s="55">
        <v>0</v>
      </c>
      <c r="AC12" s="52">
        <f t="shared" si="3"/>
        <v>0</v>
      </c>
      <c r="AD12" s="54">
        <v>0</v>
      </c>
      <c r="AE12" s="54">
        <v>0</v>
      </c>
      <c r="AF12" s="55">
        <v>0</v>
      </c>
      <c r="AG12" s="52">
        <f t="shared" si="5"/>
        <v>0</v>
      </c>
      <c r="AH12" s="54">
        <f t="shared" si="19"/>
        <v>1</v>
      </c>
      <c r="AI12" s="54">
        <f t="shared" si="20"/>
        <v>0</v>
      </c>
      <c r="AJ12" s="55">
        <f t="shared" si="21"/>
        <v>1</v>
      </c>
      <c r="AK12" s="52">
        <f t="shared" si="7"/>
        <v>1</v>
      </c>
      <c r="AL12" s="50">
        <v>1</v>
      </c>
      <c r="AM12" s="50">
        <v>0</v>
      </c>
      <c r="AN12" s="50">
        <v>1</v>
      </c>
      <c r="AO12" s="52">
        <f t="shared" si="9"/>
        <v>1</v>
      </c>
      <c r="AP12" s="50">
        <v>0</v>
      </c>
      <c r="AQ12" s="50">
        <v>0</v>
      </c>
      <c r="AR12" s="50">
        <v>0</v>
      </c>
      <c r="AS12" s="52">
        <f t="shared" si="11"/>
        <v>0</v>
      </c>
      <c r="AT12" s="54">
        <f t="shared" ref="AT12:AV12" si="32">+AX12+BB12</f>
        <v>5</v>
      </c>
      <c r="AU12" s="54">
        <f t="shared" si="32"/>
        <v>0</v>
      </c>
      <c r="AV12" s="55">
        <f t="shared" si="32"/>
        <v>0</v>
      </c>
      <c r="AW12" s="52">
        <f t="shared" si="13"/>
        <v>0</v>
      </c>
      <c r="AX12" s="50">
        <v>5</v>
      </c>
      <c r="AY12" s="50">
        <v>0</v>
      </c>
      <c r="AZ12" s="50">
        <v>0</v>
      </c>
      <c r="BA12" s="52">
        <f t="shared" si="15"/>
        <v>0</v>
      </c>
      <c r="BB12" s="50"/>
      <c r="BC12" s="50"/>
      <c r="BD12" s="50"/>
      <c r="BE12" s="52">
        <f t="shared" si="17"/>
        <v>0</v>
      </c>
    </row>
    <row r="13" ht="29.25" customHeight="1" spans="6:57">
      <c r="F13" s="15">
        <v>6</v>
      </c>
      <c r="G13" s="15">
        <v>3</v>
      </c>
      <c r="H13" s="24">
        <v>4</v>
      </c>
      <c r="I13" s="56" t="s">
        <v>26</v>
      </c>
      <c r="J13" s="54">
        <f t="shared" si="23"/>
        <v>7</v>
      </c>
      <c r="K13" s="54">
        <f t="shared" si="24"/>
        <v>20</v>
      </c>
      <c r="L13" s="55">
        <f t="shared" si="25"/>
        <v>2</v>
      </c>
      <c r="M13" s="52">
        <f t="shared" si="26"/>
        <v>0.285714285714286</v>
      </c>
      <c r="N13" s="50"/>
      <c r="O13" s="50"/>
      <c r="P13" s="55"/>
      <c r="Q13" s="52">
        <f t="shared" si="27"/>
        <v>0</v>
      </c>
      <c r="R13" s="54">
        <v>7</v>
      </c>
      <c r="S13" s="54">
        <v>20</v>
      </c>
      <c r="T13" s="55">
        <v>2</v>
      </c>
      <c r="U13" s="52">
        <f t="shared" si="28"/>
        <v>0.285714285714286</v>
      </c>
      <c r="V13" s="54">
        <f t="shared" ref="V13:X13" si="33">+Z13+AD13</f>
        <v>18</v>
      </c>
      <c r="W13" s="54">
        <f t="shared" si="33"/>
        <v>10</v>
      </c>
      <c r="X13" s="55">
        <f t="shared" si="33"/>
        <v>16</v>
      </c>
      <c r="Y13" s="52">
        <f t="shared" si="1"/>
        <v>0.888888888888889</v>
      </c>
      <c r="Z13" s="50">
        <v>8</v>
      </c>
      <c r="AA13" s="50">
        <v>0</v>
      </c>
      <c r="AB13" s="55">
        <v>7</v>
      </c>
      <c r="AC13" s="52">
        <f t="shared" si="3"/>
        <v>0.875</v>
      </c>
      <c r="AD13" s="54">
        <v>10</v>
      </c>
      <c r="AE13" s="54">
        <v>10</v>
      </c>
      <c r="AF13" s="55">
        <v>9</v>
      </c>
      <c r="AG13" s="52">
        <f t="shared" si="5"/>
        <v>0.9</v>
      </c>
      <c r="AH13" s="54">
        <f t="shared" si="19"/>
        <v>7</v>
      </c>
      <c r="AI13" s="54">
        <f t="shared" si="20"/>
        <v>7</v>
      </c>
      <c r="AJ13" s="55">
        <f t="shared" si="21"/>
        <v>5</v>
      </c>
      <c r="AK13" s="52">
        <f t="shared" si="7"/>
        <v>0.714285714285714</v>
      </c>
      <c r="AL13" s="50">
        <v>7</v>
      </c>
      <c r="AM13" s="50">
        <v>7</v>
      </c>
      <c r="AN13" s="50">
        <v>5</v>
      </c>
      <c r="AO13" s="52">
        <f t="shared" si="9"/>
        <v>0.714285714285714</v>
      </c>
      <c r="AP13" s="50">
        <v>0</v>
      </c>
      <c r="AQ13" s="50">
        <v>0</v>
      </c>
      <c r="AR13" s="50">
        <v>0</v>
      </c>
      <c r="AS13" s="52">
        <f t="shared" si="11"/>
        <v>0</v>
      </c>
      <c r="AT13" s="54">
        <f t="shared" ref="AT13:AV13" si="34">+AX13+BB13</f>
        <v>6</v>
      </c>
      <c r="AU13" s="54">
        <f t="shared" si="34"/>
        <v>0</v>
      </c>
      <c r="AV13" s="55">
        <f t="shared" si="34"/>
        <v>0</v>
      </c>
      <c r="AW13" s="52">
        <f t="shared" si="13"/>
        <v>0</v>
      </c>
      <c r="AX13" s="50">
        <v>6</v>
      </c>
      <c r="AY13" s="50">
        <v>0</v>
      </c>
      <c r="AZ13" s="50">
        <v>0</v>
      </c>
      <c r="BA13" s="52">
        <f t="shared" si="15"/>
        <v>0</v>
      </c>
      <c r="BB13" s="50"/>
      <c r="BC13" s="50"/>
      <c r="BD13" s="50"/>
      <c r="BE13" s="52">
        <f t="shared" si="17"/>
        <v>0</v>
      </c>
    </row>
    <row r="14" ht="29.25" customHeight="1" spans="6:57">
      <c r="F14" s="15">
        <v>2</v>
      </c>
      <c r="H14" s="23">
        <v>5</v>
      </c>
      <c r="I14" s="56" t="s">
        <v>27</v>
      </c>
      <c r="J14" s="54">
        <f t="shared" si="23"/>
        <v>8</v>
      </c>
      <c r="K14" s="54">
        <f t="shared" si="24"/>
        <v>10</v>
      </c>
      <c r="L14" s="55">
        <f t="shared" si="25"/>
        <v>1</v>
      </c>
      <c r="M14" s="52">
        <f t="shared" si="26"/>
        <v>0.125</v>
      </c>
      <c r="N14" s="50"/>
      <c r="O14" s="50"/>
      <c r="P14" s="55"/>
      <c r="Q14" s="52">
        <f t="shared" si="27"/>
        <v>0</v>
      </c>
      <c r="R14" s="54">
        <v>8</v>
      </c>
      <c r="S14" s="54">
        <v>10</v>
      </c>
      <c r="T14" s="55">
        <v>1</v>
      </c>
      <c r="U14" s="52">
        <f t="shared" si="28"/>
        <v>0.125</v>
      </c>
      <c r="V14" s="54">
        <f t="shared" ref="V14:X14" si="35">+Z14+AD14</f>
        <v>12</v>
      </c>
      <c r="W14" s="54">
        <f t="shared" si="35"/>
        <v>5</v>
      </c>
      <c r="X14" s="55">
        <f t="shared" si="35"/>
        <v>9</v>
      </c>
      <c r="Y14" s="52">
        <f t="shared" si="1"/>
        <v>0.75</v>
      </c>
      <c r="Z14" s="50">
        <v>7</v>
      </c>
      <c r="AA14" s="50">
        <v>0</v>
      </c>
      <c r="AB14" s="55">
        <v>1</v>
      </c>
      <c r="AC14" s="52">
        <f t="shared" si="3"/>
        <v>0.142857142857143</v>
      </c>
      <c r="AD14" s="54">
        <v>5</v>
      </c>
      <c r="AE14" s="54">
        <v>5</v>
      </c>
      <c r="AF14" s="55">
        <v>8</v>
      </c>
      <c r="AG14" s="52">
        <f t="shared" si="5"/>
        <v>1.6</v>
      </c>
      <c r="AH14" s="54">
        <f t="shared" si="19"/>
        <v>3</v>
      </c>
      <c r="AI14" s="54">
        <f t="shared" si="20"/>
        <v>0</v>
      </c>
      <c r="AJ14" s="55">
        <f t="shared" si="21"/>
        <v>6</v>
      </c>
      <c r="AK14" s="52">
        <f t="shared" si="7"/>
        <v>2</v>
      </c>
      <c r="AL14" s="50">
        <v>1</v>
      </c>
      <c r="AM14" s="50">
        <v>0</v>
      </c>
      <c r="AN14" s="50">
        <v>6</v>
      </c>
      <c r="AO14" s="52">
        <f t="shared" si="9"/>
        <v>6</v>
      </c>
      <c r="AP14" s="50">
        <v>2</v>
      </c>
      <c r="AQ14" s="50">
        <v>0</v>
      </c>
      <c r="AR14" s="50">
        <v>0</v>
      </c>
      <c r="AS14" s="52">
        <f t="shared" si="11"/>
        <v>0</v>
      </c>
      <c r="AT14" s="54">
        <f t="shared" ref="AT14:AV14" si="36">+AX14+BB14</f>
        <v>5</v>
      </c>
      <c r="AU14" s="54">
        <f t="shared" si="36"/>
        <v>0</v>
      </c>
      <c r="AV14" s="55">
        <f t="shared" si="36"/>
        <v>0</v>
      </c>
      <c r="AW14" s="52">
        <f t="shared" si="13"/>
        <v>0</v>
      </c>
      <c r="AX14" s="50">
        <v>5</v>
      </c>
      <c r="AY14" s="50">
        <v>0</v>
      </c>
      <c r="AZ14" s="50">
        <v>0</v>
      </c>
      <c r="BA14" s="52">
        <f t="shared" si="15"/>
        <v>0</v>
      </c>
      <c r="BB14" s="50"/>
      <c r="BC14" s="50"/>
      <c r="BD14" s="50"/>
      <c r="BE14" s="52">
        <f t="shared" si="17"/>
        <v>0</v>
      </c>
    </row>
    <row r="15" ht="29.25" customHeight="1" spans="8:57">
      <c r="H15" s="24">
        <v>6</v>
      </c>
      <c r="I15" s="56" t="s">
        <v>28</v>
      </c>
      <c r="J15" s="54">
        <f t="shared" si="23"/>
        <v>6</v>
      </c>
      <c r="K15" s="54">
        <f t="shared" si="24"/>
        <v>6</v>
      </c>
      <c r="L15" s="55">
        <f t="shared" si="25"/>
        <v>0</v>
      </c>
      <c r="M15" s="52">
        <f t="shared" si="26"/>
        <v>0</v>
      </c>
      <c r="N15" s="50"/>
      <c r="O15" s="50"/>
      <c r="P15" s="55"/>
      <c r="Q15" s="52">
        <f t="shared" si="27"/>
        <v>0</v>
      </c>
      <c r="R15" s="54">
        <v>6</v>
      </c>
      <c r="S15" s="54">
        <v>6</v>
      </c>
      <c r="T15" s="55">
        <v>0</v>
      </c>
      <c r="U15" s="52">
        <f t="shared" si="28"/>
        <v>0</v>
      </c>
      <c r="V15" s="54">
        <f t="shared" ref="V15:X15" si="37">+Z15+AD15</f>
        <v>14</v>
      </c>
      <c r="W15" s="54">
        <f t="shared" si="37"/>
        <v>7</v>
      </c>
      <c r="X15" s="55">
        <f t="shared" si="37"/>
        <v>10</v>
      </c>
      <c r="Y15" s="52">
        <f t="shared" si="1"/>
        <v>0.714285714285714</v>
      </c>
      <c r="Z15" s="50">
        <v>7</v>
      </c>
      <c r="AA15" s="50">
        <v>0</v>
      </c>
      <c r="AB15" s="55">
        <v>0</v>
      </c>
      <c r="AC15" s="52">
        <f t="shared" si="3"/>
        <v>0</v>
      </c>
      <c r="AD15" s="54">
        <v>7</v>
      </c>
      <c r="AE15" s="54">
        <v>7</v>
      </c>
      <c r="AF15" s="55">
        <v>10</v>
      </c>
      <c r="AG15" s="52">
        <f t="shared" si="5"/>
        <v>1.42857142857143</v>
      </c>
      <c r="AH15" s="54">
        <f t="shared" si="19"/>
        <v>1</v>
      </c>
      <c r="AI15" s="54">
        <f t="shared" si="20"/>
        <v>0</v>
      </c>
      <c r="AJ15" s="55">
        <f t="shared" si="21"/>
        <v>2</v>
      </c>
      <c r="AK15" s="52">
        <f t="shared" si="7"/>
        <v>2</v>
      </c>
      <c r="AL15" s="50">
        <v>0</v>
      </c>
      <c r="AM15" s="50">
        <v>0</v>
      </c>
      <c r="AN15" s="50">
        <v>0</v>
      </c>
      <c r="AO15" s="52">
        <f t="shared" si="9"/>
        <v>0</v>
      </c>
      <c r="AP15" s="50">
        <v>1</v>
      </c>
      <c r="AQ15" s="50">
        <v>0</v>
      </c>
      <c r="AR15" s="50">
        <v>2</v>
      </c>
      <c r="AS15" s="52">
        <f t="shared" si="11"/>
        <v>2</v>
      </c>
      <c r="AT15" s="54">
        <f t="shared" ref="AT15:AV15" si="38">+AX15+BB15</f>
        <v>5</v>
      </c>
      <c r="AU15" s="54">
        <f t="shared" si="38"/>
        <v>0</v>
      </c>
      <c r="AV15" s="55">
        <f t="shared" si="38"/>
        <v>2</v>
      </c>
      <c r="AW15" s="52">
        <f t="shared" si="13"/>
        <v>0.4</v>
      </c>
      <c r="AX15" s="50">
        <v>5</v>
      </c>
      <c r="AY15" s="50">
        <v>0</v>
      </c>
      <c r="AZ15" s="50">
        <v>2</v>
      </c>
      <c r="BA15" s="52">
        <f t="shared" si="15"/>
        <v>0.4</v>
      </c>
      <c r="BB15" s="50"/>
      <c r="BC15" s="50"/>
      <c r="BD15" s="50"/>
      <c r="BE15" s="52">
        <f t="shared" si="17"/>
        <v>0</v>
      </c>
    </row>
    <row r="16" ht="29.25" customHeight="1" spans="6:57">
      <c r="F16" s="15">
        <v>3</v>
      </c>
      <c r="G16" s="15">
        <v>1</v>
      </c>
      <c r="H16" s="23">
        <v>7</v>
      </c>
      <c r="I16" s="57" t="s">
        <v>29</v>
      </c>
      <c r="J16" s="54">
        <f t="shared" si="23"/>
        <v>5</v>
      </c>
      <c r="K16" s="54">
        <f t="shared" si="24"/>
        <v>5</v>
      </c>
      <c r="L16" s="55">
        <f t="shared" si="25"/>
        <v>0</v>
      </c>
      <c r="M16" s="52">
        <f t="shared" si="26"/>
        <v>0</v>
      </c>
      <c r="N16" s="50"/>
      <c r="O16" s="50"/>
      <c r="P16" s="55"/>
      <c r="Q16" s="52">
        <f t="shared" si="27"/>
        <v>0</v>
      </c>
      <c r="R16" s="54">
        <v>5</v>
      </c>
      <c r="S16" s="54">
        <v>5</v>
      </c>
      <c r="T16" s="55">
        <v>0</v>
      </c>
      <c r="U16" s="52">
        <f t="shared" si="28"/>
        <v>0</v>
      </c>
      <c r="V16" s="54">
        <f t="shared" ref="V16:X16" si="39">+Z16+AD16</f>
        <v>18</v>
      </c>
      <c r="W16" s="54">
        <f t="shared" si="39"/>
        <v>11</v>
      </c>
      <c r="X16" s="55">
        <f t="shared" si="39"/>
        <v>7</v>
      </c>
      <c r="Y16" s="52">
        <f t="shared" si="1"/>
        <v>0.388888888888889</v>
      </c>
      <c r="Z16" s="50">
        <v>7</v>
      </c>
      <c r="AA16" s="50">
        <v>0</v>
      </c>
      <c r="AB16" s="55">
        <v>0</v>
      </c>
      <c r="AC16" s="52">
        <f t="shared" si="3"/>
        <v>0</v>
      </c>
      <c r="AD16" s="54">
        <v>11</v>
      </c>
      <c r="AE16" s="54">
        <v>11</v>
      </c>
      <c r="AF16" s="55">
        <v>7</v>
      </c>
      <c r="AG16" s="52">
        <f t="shared" si="5"/>
        <v>0.636363636363636</v>
      </c>
      <c r="AH16" s="54">
        <f t="shared" si="19"/>
        <v>5</v>
      </c>
      <c r="AI16" s="54">
        <f t="shared" si="20"/>
        <v>5</v>
      </c>
      <c r="AJ16" s="55">
        <f t="shared" si="21"/>
        <v>0</v>
      </c>
      <c r="AK16" s="52">
        <f t="shared" si="7"/>
        <v>0</v>
      </c>
      <c r="AL16" s="50">
        <v>5</v>
      </c>
      <c r="AM16" s="50">
        <v>5</v>
      </c>
      <c r="AN16" s="50">
        <v>0</v>
      </c>
      <c r="AO16" s="52">
        <f t="shared" si="9"/>
        <v>0</v>
      </c>
      <c r="AP16" s="50">
        <v>0</v>
      </c>
      <c r="AQ16" s="50">
        <v>0</v>
      </c>
      <c r="AR16" s="50">
        <v>0</v>
      </c>
      <c r="AS16" s="52">
        <f t="shared" si="11"/>
        <v>0</v>
      </c>
      <c r="AT16" s="54">
        <f t="shared" ref="AT16:AV16" si="40">+AX16+BB16</f>
        <v>6</v>
      </c>
      <c r="AU16" s="54">
        <f t="shared" si="40"/>
        <v>0</v>
      </c>
      <c r="AV16" s="55">
        <f t="shared" si="40"/>
        <v>0</v>
      </c>
      <c r="AW16" s="52">
        <f t="shared" si="13"/>
        <v>0</v>
      </c>
      <c r="AX16" s="50">
        <v>6</v>
      </c>
      <c r="AY16" s="50">
        <v>0</v>
      </c>
      <c r="AZ16" s="50">
        <v>0</v>
      </c>
      <c r="BA16" s="52">
        <f t="shared" si="15"/>
        <v>0</v>
      </c>
      <c r="BB16" s="50"/>
      <c r="BC16" s="50"/>
      <c r="BD16" s="50"/>
      <c r="BE16" s="52">
        <f t="shared" si="17"/>
        <v>0</v>
      </c>
    </row>
    <row r="17" ht="29.25" customHeight="1" spans="6:57">
      <c r="F17" s="15">
        <v>1</v>
      </c>
      <c r="H17" s="24">
        <v>8</v>
      </c>
      <c r="I17" s="57" t="s">
        <v>30</v>
      </c>
      <c r="J17" s="58">
        <f t="shared" si="23"/>
        <v>3</v>
      </c>
      <c r="K17" s="58">
        <f t="shared" si="24"/>
        <v>15</v>
      </c>
      <c r="L17" s="59">
        <f t="shared" si="25"/>
        <v>2</v>
      </c>
      <c r="M17" s="52">
        <f t="shared" si="26"/>
        <v>0.666666666666667</v>
      </c>
      <c r="N17" s="50"/>
      <c r="O17" s="50"/>
      <c r="P17" s="59"/>
      <c r="Q17" s="52">
        <f t="shared" si="27"/>
        <v>0</v>
      </c>
      <c r="R17" s="58">
        <v>3</v>
      </c>
      <c r="S17" s="58">
        <v>15</v>
      </c>
      <c r="T17" s="59">
        <v>2</v>
      </c>
      <c r="U17" s="52">
        <f t="shared" si="28"/>
        <v>0.666666666666667</v>
      </c>
      <c r="V17" s="58">
        <f t="shared" ref="V17:X17" si="41">+Z17+AD17</f>
        <v>9</v>
      </c>
      <c r="W17" s="58">
        <f t="shared" si="41"/>
        <v>2</v>
      </c>
      <c r="X17" s="59">
        <f t="shared" si="41"/>
        <v>5</v>
      </c>
      <c r="Y17" s="52">
        <f t="shared" si="1"/>
        <v>0.555555555555556</v>
      </c>
      <c r="Z17" s="50">
        <v>7</v>
      </c>
      <c r="AA17" s="50">
        <v>0</v>
      </c>
      <c r="AB17" s="59">
        <v>0</v>
      </c>
      <c r="AC17" s="52">
        <f t="shared" si="3"/>
        <v>0</v>
      </c>
      <c r="AD17" s="58">
        <v>2</v>
      </c>
      <c r="AE17" s="58">
        <v>2</v>
      </c>
      <c r="AF17" s="59">
        <v>5</v>
      </c>
      <c r="AG17" s="52">
        <f t="shared" si="5"/>
        <v>2.5</v>
      </c>
      <c r="AH17" s="58">
        <f t="shared" si="19"/>
        <v>3</v>
      </c>
      <c r="AI17" s="58">
        <f t="shared" si="20"/>
        <v>3</v>
      </c>
      <c r="AJ17" s="59">
        <f t="shared" si="21"/>
        <v>1</v>
      </c>
      <c r="AK17" s="52">
        <f t="shared" si="7"/>
        <v>0.333333333333333</v>
      </c>
      <c r="AL17" s="50">
        <v>3</v>
      </c>
      <c r="AM17" s="50">
        <v>3</v>
      </c>
      <c r="AN17" s="50">
        <v>1</v>
      </c>
      <c r="AO17" s="52">
        <f t="shared" si="9"/>
        <v>0.333333333333333</v>
      </c>
      <c r="AP17" s="50">
        <v>0</v>
      </c>
      <c r="AQ17" s="50">
        <v>0</v>
      </c>
      <c r="AR17" s="50">
        <v>0</v>
      </c>
      <c r="AS17" s="52">
        <f t="shared" si="11"/>
        <v>0</v>
      </c>
      <c r="AT17" s="58">
        <f t="shared" ref="AT17:AV17" si="42">+AX17+BB17</f>
        <v>5</v>
      </c>
      <c r="AU17" s="58">
        <f t="shared" si="42"/>
        <v>0</v>
      </c>
      <c r="AV17" s="59">
        <f t="shared" si="42"/>
        <v>1</v>
      </c>
      <c r="AW17" s="52">
        <f t="shared" si="13"/>
        <v>0.2</v>
      </c>
      <c r="AX17" s="50">
        <v>5</v>
      </c>
      <c r="AY17" s="50">
        <v>0</v>
      </c>
      <c r="AZ17" s="50">
        <v>1</v>
      </c>
      <c r="BA17" s="52">
        <f t="shared" si="15"/>
        <v>0.2</v>
      </c>
      <c r="BB17" s="50"/>
      <c r="BC17" s="50"/>
      <c r="BD17" s="50"/>
      <c r="BE17" s="52">
        <f t="shared" si="17"/>
        <v>0</v>
      </c>
    </row>
    <row r="18" ht="29.25" hidden="1" customHeight="1" spans="8:57">
      <c r="H18" s="24">
        <v>9</v>
      </c>
      <c r="I18" s="53" t="s">
        <v>31</v>
      </c>
      <c r="J18" s="54">
        <f t="shared" si="23"/>
        <v>0</v>
      </c>
      <c r="K18" s="54">
        <f t="shared" si="24"/>
        <v>0</v>
      </c>
      <c r="L18" s="55">
        <f t="shared" si="25"/>
        <v>0</v>
      </c>
      <c r="M18" s="52">
        <f t="shared" si="26"/>
        <v>0</v>
      </c>
      <c r="N18" s="50"/>
      <c r="O18" s="50"/>
      <c r="P18" s="55"/>
      <c r="Q18" s="52">
        <f t="shared" si="27"/>
        <v>0</v>
      </c>
      <c r="R18" s="67"/>
      <c r="S18" s="54"/>
      <c r="T18" s="55"/>
      <c r="U18" s="52">
        <f t="shared" si="28"/>
        <v>0</v>
      </c>
      <c r="V18" s="54">
        <f t="shared" ref="V18:X18" si="43">+Z18+AD18</f>
        <v>0</v>
      </c>
      <c r="W18" s="54">
        <f t="shared" si="43"/>
        <v>0</v>
      </c>
      <c r="X18" s="55">
        <f t="shared" si="43"/>
        <v>0</v>
      </c>
      <c r="Y18" s="52">
        <f t="shared" si="1"/>
        <v>0</v>
      </c>
      <c r="Z18" s="50"/>
      <c r="AA18" s="50"/>
      <c r="AB18" s="55"/>
      <c r="AC18" s="52">
        <f t="shared" si="3"/>
        <v>0</v>
      </c>
      <c r="AD18" s="67"/>
      <c r="AE18" s="67"/>
      <c r="AF18" s="55"/>
      <c r="AG18" s="52">
        <f t="shared" si="5"/>
        <v>0</v>
      </c>
      <c r="AH18" s="54">
        <f t="shared" si="19"/>
        <v>0</v>
      </c>
      <c r="AI18" s="54">
        <f t="shared" si="20"/>
        <v>0</v>
      </c>
      <c r="AJ18" s="55">
        <f t="shared" si="21"/>
        <v>0</v>
      </c>
      <c r="AK18" s="52">
        <f t="shared" si="7"/>
        <v>0</v>
      </c>
      <c r="AL18" s="50">
        <v>0</v>
      </c>
      <c r="AM18" s="50">
        <v>0</v>
      </c>
      <c r="AN18" s="50">
        <v>0</v>
      </c>
      <c r="AO18" s="52">
        <f t="shared" si="9"/>
        <v>0</v>
      </c>
      <c r="AP18" s="50">
        <v>0</v>
      </c>
      <c r="AQ18" s="50">
        <v>0</v>
      </c>
      <c r="AR18" s="50">
        <v>0</v>
      </c>
      <c r="AS18" s="52">
        <f t="shared" si="11"/>
        <v>0</v>
      </c>
      <c r="AT18" s="54">
        <f t="shared" ref="AT18:AV18" si="44">+AX18+BB18</f>
        <v>0</v>
      </c>
      <c r="AU18" s="54">
        <f t="shared" si="44"/>
        <v>0</v>
      </c>
      <c r="AV18" s="55">
        <f t="shared" si="44"/>
        <v>0</v>
      </c>
      <c r="AW18" s="52">
        <f t="shared" si="13"/>
        <v>0</v>
      </c>
      <c r="AX18" s="50">
        <v>0</v>
      </c>
      <c r="AY18" s="50">
        <v>0</v>
      </c>
      <c r="AZ18" s="50">
        <v>0</v>
      </c>
      <c r="BA18" s="52">
        <f t="shared" si="15"/>
        <v>0</v>
      </c>
      <c r="BB18" s="50"/>
      <c r="BC18" s="50"/>
      <c r="BD18" s="50"/>
      <c r="BE18" s="52">
        <f t="shared" si="17"/>
        <v>0</v>
      </c>
    </row>
    <row r="19" ht="29.25" customHeight="1" spans="6:57">
      <c r="F19" s="15">
        <v>2</v>
      </c>
      <c r="G19" s="15">
        <v>1</v>
      </c>
      <c r="H19" s="24">
        <v>9</v>
      </c>
      <c r="I19" s="60" t="s">
        <v>32</v>
      </c>
      <c r="J19" s="54">
        <f t="shared" si="23"/>
        <v>5</v>
      </c>
      <c r="K19" s="58">
        <f t="shared" si="24"/>
        <v>20</v>
      </c>
      <c r="L19" s="59">
        <f t="shared" si="25"/>
        <v>0</v>
      </c>
      <c r="M19" s="52">
        <f t="shared" si="26"/>
        <v>0</v>
      </c>
      <c r="N19" s="50"/>
      <c r="O19" s="50"/>
      <c r="P19" s="59"/>
      <c r="Q19" s="52">
        <f t="shared" si="27"/>
        <v>0</v>
      </c>
      <c r="R19" s="54">
        <v>5</v>
      </c>
      <c r="S19" s="58">
        <v>20</v>
      </c>
      <c r="T19" s="59">
        <v>0</v>
      </c>
      <c r="U19" s="52">
        <f t="shared" si="28"/>
        <v>0</v>
      </c>
      <c r="V19" s="54">
        <f t="shared" ref="V19:X19" si="45">+Z19+AD19</f>
        <v>7</v>
      </c>
      <c r="W19" s="58">
        <f t="shared" si="45"/>
        <v>0</v>
      </c>
      <c r="X19" s="59">
        <f t="shared" si="45"/>
        <v>1</v>
      </c>
      <c r="Y19" s="52">
        <f t="shared" si="1"/>
        <v>0.142857142857143</v>
      </c>
      <c r="Z19" s="50">
        <v>7</v>
      </c>
      <c r="AA19" s="50">
        <v>0</v>
      </c>
      <c r="AB19" s="59">
        <v>1</v>
      </c>
      <c r="AC19" s="52">
        <f t="shared" si="3"/>
        <v>0.142857142857143</v>
      </c>
      <c r="AD19" s="54">
        <v>0</v>
      </c>
      <c r="AE19" s="54">
        <v>0</v>
      </c>
      <c r="AF19" s="59">
        <v>0</v>
      </c>
      <c r="AG19" s="52">
        <f t="shared" si="5"/>
        <v>0</v>
      </c>
      <c r="AH19" s="54">
        <f t="shared" si="19"/>
        <v>1</v>
      </c>
      <c r="AI19" s="58">
        <f t="shared" si="20"/>
        <v>0</v>
      </c>
      <c r="AJ19" s="59">
        <f t="shared" si="21"/>
        <v>1</v>
      </c>
      <c r="AK19" s="52">
        <f t="shared" si="7"/>
        <v>1</v>
      </c>
      <c r="AL19" s="50">
        <v>1</v>
      </c>
      <c r="AM19" s="50">
        <v>0</v>
      </c>
      <c r="AN19" s="50">
        <v>1</v>
      </c>
      <c r="AO19" s="52">
        <f t="shared" si="9"/>
        <v>1</v>
      </c>
      <c r="AP19" s="50">
        <v>0</v>
      </c>
      <c r="AQ19" s="50">
        <v>0</v>
      </c>
      <c r="AR19" s="50">
        <v>0</v>
      </c>
      <c r="AS19" s="52">
        <f t="shared" si="11"/>
        <v>0</v>
      </c>
      <c r="AT19" s="54">
        <f t="shared" ref="AT19:AV19" si="46">+AX19+BB19</f>
        <v>5</v>
      </c>
      <c r="AU19" s="58">
        <f t="shared" si="46"/>
        <v>0</v>
      </c>
      <c r="AV19" s="59">
        <f t="shared" si="46"/>
        <v>0</v>
      </c>
      <c r="AW19" s="52">
        <f t="shared" si="13"/>
        <v>0</v>
      </c>
      <c r="AX19" s="50">
        <v>5</v>
      </c>
      <c r="AY19" s="50">
        <v>0</v>
      </c>
      <c r="AZ19" s="50">
        <v>0</v>
      </c>
      <c r="BA19" s="52">
        <f t="shared" si="15"/>
        <v>0</v>
      </c>
      <c r="BB19" s="50"/>
      <c r="BC19" s="50"/>
      <c r="BD19" s="50"/>
      <c r="BE19" s="52">
        <f t="shared" si="17"/>
        <v>0</v>
      </c>
    </row>
    <row r="20" ht="29.25" customHeight="1" spans="7:57">
      <c r="G20" s="15">
        <v>2</v>
      </c>
      <c r="H20" s="24">
        <v>10</v>
      </c>
      <c r="I20" s="56" t="s">
        <v>33</v>
      </c>
      <c r="J20" s="54">
        <f t="shared" si="23"/>
        <v>1</v>
      </c>
      <c r="K20" s="54">
        <f t="shared" si="24"/>
        <v>1</v>
      </c>
      <c r="L20" s="55">
        <f t="shared" si="25"/>
        <v>0</v>
      </c>
      <c r="M20" s="52">
        <f t="shared" si="26"/>
        <v>0</v>
      </c>
      <c r="N20" s="50"/>
      <c r="O20" s="50"/>
      <c r="P20" s="55"/>
      <c r="Q20" s="52">
        <f t="shared" si="27"/>
        <v>0</v>
      </c>
      <c r="R20" s="54">
        <v>1</v>
      </c>
      <c r="S20" s="54">
        <v>1</v>
      </c>
      <c r="T20" s="55">
        <v>0</v>
      </c>
      <c r="U20" s="52">
        <f t="shared" si="28"/>
        <v>0</v>
      </c>
      <c r="V20" s="54">
        <f t="shared" ref="V20:X20" si="47">+Z20+AD20</f>
        <v>7</v>
      </c>
      <c r="W20" s="54">
        <f t="shared" si="47"/>
        <v>0</v>
      </c>
      <c r="X20" s="55">
        <f t="shared" si="47"/>
        <v>0</v>
      </c>
      <c r="Y20" s="52">
        <f t="shared" si="1"/>
        <v>0</v>
      </c>
      <c r="Z20" s="50">
        <v>7</v>
      </c>
      <c r="AA20" s="50">
        <v>0</v>
      </c>
      <c r="AB20" s="55">
        <v>0</v>
      </c>
      <c r="AC20" s="52">
        <f t="shared" si="3"/>
        <v>0</v>
      </c>
      <c r="AD20" s="54">
        <v>0</v>
      </c>
      <c r="AE20" s="54">
        <v>0</v>
      </c>
      <c r="AF20" s="55">
        <v>0</v>
      </c>
      <c r="AG20" s="52">
        <f t="shared" si="5"/>
        <v>0</v>
      </c>
      <c r="AH20" s="54">
        <f t="shared" si="19"/>
        <v>3</v>
      </c>
      <c r="AI20" s="54">
        <f t="shared" si="20"/>
        <v>2</v>
      </c>
      <c r="AJ20" s="55">
        <f t="shared" si="21"/>
        <v>2</v>
      </c>
      <c r="AK20" s="52">
        <f t="shared" si="7"/>
        <v>0.666666666666667</v>
      </c>
      <c r="AL20" s="50">
        <v>1</v>
      </c>
      <c r="AM20" s="50">
        <v>0</v>
      </c>
      <c r="AN20" s="50">
        <v>1</v>
      </c>
      <c r="AO20" s="52">
        <f t="shared" si="9"/>
        <v>1</v>
      </c>
      <c r="AP20" s="50">
        <v>2</v>
      </c>
      <c r="AQ20" s="50">
        <v>2</v>
      </c>
      <c r="AR20" s="50">
        <v>1</v>
      </c>
      <c r="AS20" s="52">
        <f t="shared" si="11"/>
        <v>0.5</v>
      </c>
      <c r="AT20" s="54">
        <f t="shared" ref="AT20:AV20" si="48">+AX20+BB20</f>
        <v>5</v>
      </c>
      <c r="AU20" s="54">
        <f t="shared" si="48"/>
        <v>0</v>
      </c>
      <c r="AV20" s="55">
        <f t="shared" si="48"/>
        <v>0</v>
      </c>
      <c r="AW20" s="52">
        <f t="shared" si="13"/>
        <v>0</v>
      </c>
      <c r="AX20" s="50">
        <v>5</v>
      </c>
      <c r="AY20" s="50">
        <v>0</v>
      </c>
      <c r="AZ20" s="50">
        <v>0</v>
      </c>
      <c r="BA20" s="52">
        <f t="shared" si="15"/>
        <v>0</v>
      </c>
      <c r="BB20" s="50"/>
      <c r="BC20" s="50"/>
      <c r="BD20" s="50"/>
      <c r="BE20" s="52">
        <f t="shared" si="17"/>
        <v>0</v>
      </c>
    </row>
    <row r="21" ht="29.25" customHeight="1" spans="6:57">
      <c r="F21" s="15">
        <v>6</v>
      </c>
      <c r="G21" s="15">
        <v>2</v>
      </c>
      <c r="H21" s="25">
        <v>11</v>
      </c>
      <c r="I21" s="61" t="s">
        <v>34</v>
      </c>
      <c r="J21" s="62">
        <f t="shared" si="23"/>
        <v>10</v>
      </c>
      <c r="K21" s="62">
        <f t="shared" si="24"/>
        <v>20</v>
      </c>
      <c r="L21" s="63">
        <f t="shared" si="25"/>
        <v>5</v>
      </c>
      <c r="M21" s="64">
        <f t="shared" si="26"/>
        <v>0.5</v>
      </c>
      <c r="N21" s="62"/>
      <c r="O21" s="62"/>
      <c r="P21" s="63"/>
      <c r="Q21" s="64">
        <f t="shared" si="27"/>
        <v>0</v>
      </c>
      <c r="R21" s="62">
        <v>10</v>
      </c>
      <c r="S21" s="62">
        <v>20</v>
      </c>
      <c r="T21" s="63">
        <v>5</v>
      </c>
      <c r="U21" s="64">
        <f t="shared" si="28"/>
        <v>0.5</v>
      </c>
      <c r="V21" s="62">
        <f t="shared" ref="V21:X21" si="49">+Z21+AD21</f>
        <v>37</v>
      </c>
      <c r="W21" s="62">
        <f t="shared" si="49"/>
        <v>30</v>
      </c>
      <c r="X21" s="63">
        <f t="shared" si="49"/>
        <v>21</v>
      </c>
      <c r="Y21" s="64">
        <f t="shared" si="1"/>
        <v>0.567567567567568</v>
      </c>
      <c r="Z21" s="62">
        <v>7</v>
      </c>
      <c r="AA21" s="62">
        <v>0</v>
      </c>
      <c r="AB21" s="63">
        <v>3</v>
      </c>
      <c r="AC21" s="64">
        <f t="shared" si="3"/>
        <v>0.428571428571429</v>
      </c>
      <c r="AD21" s="62">
        <v>30</v>
      </c>
      <c r="AE21" s="62">
        <v>30</v>
      </c>
      <c r="AF21" s="63">
        <v>18</v>
      </c>
      <c r="AG21" s="64">
        <f t="shared" si="5"/>
        <v>0.6</v>
      </c>
      <c r="AH21" s="62">
        <f t="shared" si="19"/>
        <v>115</v>
      </c>
      <c r="AI21" s="62">
        <f t="shared" si="20"/>
        <v>115</v>
      </c>
      <c r="AJ21" s="63">
        <f t="shared" si="21"/>
        <v>77</v>
      </c>
      <c r="AK21" s="64">
        <f t="shared" si="7"/>
        <v>0.669565217391304</v>
      </c>
      <c r="AL21" s="50">
        <v>110</v>
      </c>
      <c r="AM21" s="50">
        <v>110</v>
      </c>
      <c r="AN21" s="50">
        <v>72</v>
      </c>
      <c r="AO21" s="64">
        <f t="shared" si="9"/>
        <v>0.654545454545455</v>
      </c>
      <c r="AP21" s="50">
        <v>5</v>
      </c>
      <c r="AQ21" s="50">
        <v>5</v>
      </c>
      <c r="AR21" s="50">
        <v>5</v>
      </c>
      <c r="AS21" s="64">
        <f t="shared" si="11"/>
        <v>1</v>
      </c>
      <c r="AT21" s="62">
        <f t="shared" ref="AT21:AV21" si="50">+AX21+BB21</f>
        <v>6</v>
      </c>
      <c r="AU21" s="62">
        <f t="shared" si="50"/>
        <v>0</v>
      </c>
      <c r="AV21" s="63">
        <f t="shared" si="50"/>
        <v>1</v>
      </c>
      <c r="AW21" s="64">
        <f t="shared" si="13"/>
        <v>0.166666666666667</v>
      </c>
      <c r="AX21" s="50">
        <v>6</v>
      </c>
      <c r="AY21" s="50">
        <v>0</v>
      </c>
      <c r="AZ21" s="50">
        <v>1</v>
      </c>
      <c r="BA21" s="64">
        <f t="shared" si="15"/>
        <v>0.166666666666667</v>
      </c>
      <c r="BB21" s="50"/>
      <c r="BC21" s="50"/>
      <c r="BD21" s="50"/>
      <c r="BE21" s="64">
        <f t="shared" si="17"/>
        <v>0</v>
      </c>
    </row>
  </sheetData>
  <mergeCells count="80">
    <mergeCell ref="J4:U4"/>
    <mergeCell ref="V4:AG4"/>
    <mergeCell ref="AH4:AS4"/>
    <mergeCell ref="AT4:BE4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BB5:BE5"/>
    <mergeCell ref="H8:I8"/>
    <mergeCell ref="J8:M8"/>
    <mergeCell ref="N8:Q8"/>
    <mergeCell ref="R8:U8"/>
    <mergeCell ref="V8:Y8"/>
    <mergeCell ref="Z8:AC8"/>
    <mergeCell ref="AD8:AG8"/>
    <mergeCell ref="AH8:AK8"/>
    <mergeCell ref="AL8:AO8"/>
    <mergeCell ref="AP8:AS8"/>
    <mergeCell ref="AT8:AW8"/>
    <mergeCell ref="AX8:BA8"/>
    <mergeCell ref="BB8:BE8"/>
    <mergeCell ref="H9:I9"/>
    <mergeCell ref="H4:H7"/>
    <mergeCell ref="I4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</mergeCells>
  <conditionalFormatting sqref="M10:M17">
    <cfRule type="cellIs" priority="262" operator="between">
      <formula>0</formula>
      <formula>0.49</formula>
    </cfRule>
    <cfRule type="cellIs" priority="263" operator="lessThan">
      <formula>#REF!</formula>
    </cfRule>
    <cfRule type="expression" priority="264">
      <formula>#REF!&lt;50%</formula>
    </cfRule>
    <cfRule type="cellIs" dxfId="0" priority="265" operator="between">
      <formula>0.6</formula>
      <formula>0.69</formula>
    </cfRule>
    <cfRule type="cellIs" dxfId="1" priority="266" operator="between">
      <formula>0.5</formula>
      <formula>0.59</formula>
    </cfRule>
    <cfRule type="cellIs" dxfId="2" priority="267" operator="between">
      <formula>0</formula>
      <formula>0.49</formula>
    </cfRule>
    <cfRule type="cellIs" priority="268" operator="lessThan">
      <formula>0.5</formula>
    </cfRule>
    <cfRule type="cellIs" priority="269" operator="between">
      <formula>0</formula>
      <formula>0.5</formula>
    </cfRule>
    <cfRule type="cellIs" priority="270" operator="lessThan">
      <formula>"&lt;50%"</formula>
    </cfRule>
  </conditionalFormatting>
  <conditionalFormatting sqref="M19:M21">
    <cfRule type="cellIs" priority="253" operator="between">
      <formula>0</formula>
      <formula>0.49</formula>
    </cfRule>
    <cfRule type="cellIs" priority="254" operator="lessThan">
      <formula>#REF!</formula>
    </cfRule>
    <cfRule type="expression" priority="255">
      <formula>#REF!&lt;50%</formula>
    </cfRule>
    <cfRule type="cellIs" dxfId="0" priority="256" operator="between">
      <formula>0.6</formula>
      <formula>0.69</formula>
    </cfRule>
    <cfRule type="cellIs" dxfId="1" priority="257" operator="between">
      <formula>0.5</formula>
      <formula>0.59</formula>
    </cfRule>
    <cfRule type="cellIs" dxfId="2" priority="258" operator="between">
      <formula>0</formula>
      <formula>0.49</formula>
    </cfRule>
    <cfRule type="cellIs" priority="259" operator="lessThan">
      <formula>0.5</formula>
    </cfRule>
    <cfRule type="cellIs" priority="260" operator="between">
      <formula>0</formula>
      <formula>0.5</formula>
    </cfRule>
    <cfRule type="cellIs" priority="261" operator="lessThan">
      <formula>"&lt;50%"</formula>
    </cfRule>
  </conditionalFormatting>
  <conditionalFormatting sqref="Q10:Q17">
    <cfRule type="cellIs" priority="244" operator="between">
      <formula>0</formula>
      <formula>0.49</formula>
    </cfRule>
    <cfRule type="cellIs" priority="245" operator="lessThan">
      <formula>#REF!</formula>
    </cfRule>
    <cfRule type="expression" priority="246">
      <formula>#REF!&lt;50%</formula>
    </cfRule>
    <cfRule type="cellIs" dxfId="0" priority="247" operator="between">
      <formula>0.6</formula>
      <formula>0.69</formula>
    </cfRule>
    <cfRule type="cellIs" dxfId="1" priority="248" operator="between">
      <formula>0.5</formula>
      <formula>0.59</formula>
    </cfRule>
    <cfRule type="cellIs" dxfId="2" priority="249" operator="between">
      <formula>0</formula>
      <formula>0.49</formula>
    </cfRule>
    <cfRule type="cellIs" priority="250" operator="lessThan">
      <formula>0.5</formula>
    </cfRule>
    <cfRule type="cellIs" priority="251" operator="between">
      <formula>0</formula>
      <formula>0.5</formula>
    </cfRule>
    <cfRule type="cellIs" priority="252" operator="lessThan">
      <formula>"&lt;50%"</formula>
    </cfRule>
  </conditionalFormatting>
  <conditionalFormatting sqref="Q19:Q21">
    <cfRule type="cellIs" priority="235" operator="between">
      <formula>0</formula>
      <formula>0.49</formula>
    </cfRule>
    <cfRule type="cellIs" priority="236" operator="lessThan">
      <formula>#REF!</formula>
    </cfRule>
    <cfRule type="expression" priority="237">
      <formula>#REF!&lt;50%</formula>
    </cfRule>
    <cfRule type="cellIs" dxfId="0" priority="238" operator="between">
      <formula>0.6</formula>
      <formula>0.69</formula>
    </cfRule>
    <cfRule type="cellIs" dxfId="1" priority="239" operator="between">
      <formula>0.5</formula>
      <formula>0.59</formula>
    </cfRule>
    <cfRule type="cellIs" dxfId="2" priority="240" operator="between">
      <formula>0</formula>
      <formula>0.49</formula>
    </cfRule>
    <cfRule type="cellIs" priority="241" operator="lessThan">
      <formula>0.5</formula>
    </cfRule>
    <cfRule type="cellIs" priority="242" operator="between">
      <formula>0</formula>
      <formula>0.5</formula>
    </cfRule>
    <cfRule type="cellIs" priority="243" operator="lessThan">
      <formula>"&lt;50%"</formula>
    </cfRule>
  </conditionalFormatting>
  <conditionalFormatting sqref="U10:U17">
    <cfRule type="cellIs" priority="198" operator="lessThan">
      <formula>"&lt;50%"</formula>
    </cfRule>
    <cfRule type="cellIs" priority="197" operator="between">
      <formula>0</formula>
      <formula>0.5</formula>
    </cfRule>
    <cfRule type="cellIs" priority="196" operator="lessThan">
      <formula>0.5</formula>
    </cfRule>
    <cfRule type="cellIs" dxfId="2" priority="195" operator="between">
      <formula>0</formula>
      <formula>0.49</formula>
    </cfRule>
    <cfRule type="cellIs" dxfId="1" priority="194" operator="between">
      <formula>0.5</formula>
      <formula>0.59</formula>
    </cfRule>
    <cfRule type="cellIs" dxfId="0" priority="193" operator="between">
      <formula>0.6</formula>
      <formula>0.69</formula>
    </cfRule>
    <cfRule type="expression" priority="192">
      <formula>#REF!&lt;50%</formula>
    </cfRule>
    <cfRule type="cellIs" priority="191" operator="lessThan">
      <formula>#REF!</formula>
    </cfRule>
    <cfRule type="cellIs" priority="190" operator="between">
      <formula>0</formula>
      <formula>0.49</formula>
    </cfRule>
  </conditionalFormatting>
  <conditionalFormatting sqref="U19:U21">
    <cfRule type="cellIs" priority="189" operator="lessThan">
      <formula>"&lt;50%"</formula>
    </cfRule>
    <cfRule type="cellIs" priority="188" operator="between">
      <formula>0</formula>
      <formula>0.5</formula>
    </cfRule>
    <cfRule type="cellIs" priority="187" operator="lessThan">
      <formula>0.5</formula>
    </cfRule>
    <cfRule type="cellIs" dxfId="2" priority="186" operator="between">
      <formula>0</formula>
      <formula>0.49</formula>
    </cfRule>
    <cfRule type="cellIs" dxfId="1" priority="185" operator="between">
      <formula>0.5</formula>
      <formula>0.59</formula>
    </cfRule>
    <cfRule type="cellIs" dxfId="0" priority="184" operator="between">
      <formula>0.6</formula>
      <formula>0.69</formula>
    </cfRule>
    <cfRule type="expression" priority="183">
      <formula>#REF!&lt;50%</formula>
    </cfRule>
    <cfRule type="cellIs" priority="182" operator="lessThan">
      <formula>#REF!</formula>
    </cfRule>
    <cfRule type="cellIs" priority="181" operator="between">
      <formula>0</formula>
      <formula>0.49</formula>
    </cfRule>
  </conditionalFormatting>
  <conditionalFormatting sqref="Y10:Y17">
    <cfRule type="cellIs" priority="234" operator="lessThan">
      <formula>"&lt;50%"</formula>
    </cfRule>
    <cfRule type="cellIs" priority="233" operator="between">
      <formula>0</formula>
      <formula>0.5</formula>
    </cfRule>
    <cfRule type="cellIs" priority="232" operator="lessThan">
      <formula>0.5</formula>
    </cfRule>
    <cfRule type="cellIs" dxfId="2" priority="231" operator="between">
      <formula>0</formula>
      <formula>0.49</formula>
    </cfRule>
    <cfRule type="cellIs" dxfId="1" priority="230" operator="between">
      <formula>0.5</formula>
      <formula>0.59</formula>
    </cfRule>
    <cfRule type="cellIs" dxfId="0" priority="229" operator="between">
      <formula>0.6</formula>
      <formula>0.69</formula>
    </cfRule>
    <cfRule type="expression" priority="228">
      <formula>#REF!&lt;50%</formula>
    </cfRule>
    <cfRule type="cellIs" priority="227" operator="lessThan">
      <formula>#REF!</formula>
    </cfRule>
    <cfRule type="cellIs" priority="226" operator="between">
      <formula>0</formula>
      <formula>0.49</formula>
    </cfRule>
  </conditionalFormatting>
  <conditionalFormatting sqref="Y19:Y21">
    <cfRule type="cellIs" priority="225" operator="lessThan">
      <formula>"&lt;50%"</formula>
    </cfRule>
    <cfRule type="cellIs" priority="224" operator="between">
      <formula>0</formula>
      <formula>0.5</formula>
    </cfRule>
    <cfRule type="cellIs" priority="223" operator="lessThan">
      <formula>0.5</formula>
    </cfRule>
    <cfRule type="cellIs" dxfId="2" priority="222" operator="between">
      <formula>0</formula>
      <formula>0.49</formula>
    </cfRule>
    <cfRule type="cellIs" dxfId="1" priority="221" operator="between">
      <formula>0.5</formula>
      <formula>0.59</formula>
    </cfRule>
    <cfRule type="cellIs" dxfId="0" priority="220" operator="between">
      <formula>0.6</formula>
      <formula>0.69</formula>
    </cfRule>
    <cfRule type="expression" priority="219">
      <formula>#REF!&lt;50%</formula>
    </cfRule>
    <cfRule type="cellIs" priority="218" operator="lessThan">
      <formula>#REF!</formula>
    </cfRule>
    <cfRule type="cellIs" priority="217" operator="between">
      <formula>0</formula>
      <formula>0.49</formula>
    </cfRule>
  </conditionalFormatting>
  <conditionalFormatting sqref="AC10:AC17">
    <cfRule type="cellIs" priority="216" operator="lessThan">
      <formula>"&lt;50%"</formula>
    </cfRule>
    <cfRule type="cellIs" priority="215" operator="between">
      <formula>0</formula>
      <formula>0.5</formula>
    </cfRule>
    <cfRule type="cellIs" priority="214" operator="lessThan">
      <formula>0.5</formula>
    </cfRule>
    <cfRule type="cellIs" dxfId="2" priority="213" operator="between">
      <formula>0</formula>
      <formula>0.49</formula>
    </cfRule>
    <cfRule type="cellIs" dxfId="1" priority="212" operator="between">
      <formula>0.5</formula>
      <formula>0.59</formula>
    </cfRule>
    <cfRule type="cellIs" dxfId="0" priority="211" operator="between">
      <formula>0.6</formula>
      <formula>0.69</formula>
    </cfRule>
    <cfRule type="expression" priority="210">
      <formula>#REF!&lt;50%</formula>
    </cfRule>
    <cfRule type="cellIs" priority="209" operator="lessThan">
      <formula>#REF!</formula>
    </cfRule>
    <cfRule type="cellIs" priority="208" operator="between">
      <formula>0</formula>
      <formula>0.49</formula>
    </cfRule>
  </conditionalFormatting>
  <conditionalFormatting sqref="AC19:AC21">
    <cfRule type="cellIs" priority="207" operator="lessThan">
      <formula>"&lt;50%"</formula>
    </cfRule>
    <cfRule type="cellIs" priority="206" operator="between">
      <formula>0</formula>
      <formula>0.5</formula>
    </cfRule>
    <cfRule type="cellIs" priority="205" operator="lessThan">
      <formula>0.5</formula>
    </cfRule>
    <cfRule type="cellIs" dxfId="2" priority="204" operator="between">
      <formula>0</formula>
      <formula>0.49</formula>
    </cfRule>
    <cfRule type="cellIs" dxfId="1" priority="203" operator="between">
      <formula>0.5</formula>
      <formula>0.59</formula>
    </cfRule>
    <cfRule type="cellIs" dxfId="0" priority="202" operator="between">
      <formula>0.6</formula>
      <formula>0.69</formula>
    </cfRule>
    <cfRule type="expression" priority="201">
      <formula>#REF!&lt;50%</formula>
    </cfRule>
    <cfRule type="cellIs" priority="200" operator="lessThan">
      <formula>#REF!</formula>
    </cfRule>
    <cfRule type="cellIs" priority="199" operator="between">
      <formula>0</formula>
      <formula>0.49</formula>
    </cfRule>
  </conditionalFormatting>
  <conditionalFormatting sqref="AG10:AG17">
    <cfRule type="cellIs" priority="172" operator="between">
      <formula>0</formula>
      <formula>0.49</formula>
    </cfRule>
    <cfRule type="cellIs" priority="173" operator="lessThan">
      <formula>#REF!</formula>
    </cfRule>
    <cfRule type="expression" priority="174">
      <formula>#REF!&lt;50%</formula>
    </cfRule>
    <cfRule type="cellIs" dxfId="0" priority="175" operator="between">
      <formula>0.6</formula>
      <formula>0.69</formula>
    </cfRule>
    <cfRule type="cellIs" dxfId="1" priority="176" operator="between">
      <formula>0.5</formula>
      <formula>0.59</formula>
    </cfRule>
    <cfRule type="cellIs" dxfId="2" priority="177" operator="between">
      <formula>0</formula>
      <formula>0.49</formula>
    </cfRule>
    <cfRule type="cellIs" priority="178" operator="lessThan">
      <formula>0.5</formula>
    </cfRule>
    <cfRule type="cellIs" priority="179" operator="between">
      <formula>0</formula>
      <formula>0.5</formula>
    </cfRule>
    <cfRule type="cellIs" priority="180" operator="lessThan">
      <formula>"&lt;50%"</formula>
    </cfRule>
  </conditionalFormatting>
  <conditionalFormatting sqref="AG19:AG21">
    <cfRule type="cellIs" priority="163" operator="between">
      <formula>0</formula>
      <formula>0.49</formula>
    </cfRule>
    <cfRule type="cellIs" priority="164" operator="lessThan">
      <formula>#REF!</formula>
    </cfRule>
    <cfRule type="expression" priority="165">
      <formula>#REF!&lt;50%</formula>
    </cfRule>
    <cfRule type="cellIs" dxfId="0" priority="166" operator="between">
      <formula>0.6</formula>
      <formula>0.69</formula>
    </cfRule>
    <cfRule type="cellIs" dxfId="1" priority="167" operator="between">
      <formula>0.5</formula>
      <formula>0.59</formula>
    </cfRule>
    <cfRule type="cellIs" dxfId="2" priority="168" operator="between">
      <formula>0</formula>
      <formula>0.49</formula>
    </cfRule>
    <cfRule type="cellIs" priority="169" operator="lessThan">
      <formula>0.5</formula>
    </cfRule>
    <cfRule type="cellIs" priority="170" operator="between">
      <formula>0</formula>
      <formula>0.5</formula>
    </cfRule>
    <cfRule type="cellIs" priority="171" operator="lessThan">
      <formula>"&lt;50%"</formula>
    </cfRule>
  </conditionalFormatting>
  <conditionalFormatting sqref="AK10:AK17">
    <cfRule type="cellIs" priority="100" operator="between">
      <formula>0</formula>
      <formula>0.49</formula>
    </cfRule>
    <cfRule type="cellIs" priority="101" operator="lessThan">
      <formula>#REF!</formula>
    </cfRule>
    <cfRule type="expression" priority="102">
      <formula>#REF!&lt;50%</formula>
    </cfRule>
    <cfRule type="cellIs" dxfId="0" priority="103" operator="between">
      <formula>0.6</formula>
      <formula>0.69</formula>
    </cfRule>
    <cfRule type="cellIs" dxfId="1" priority="104" operator="between">
      <formula>0.5</formula>
      <formula>0.59</formula>
    </cfRule>
    <cfRule type="cellIs" dxfId="2" priority="105" operator="between">
      <formula>0</formula>
      <formula>0.49</formula>
    </cfRule>
    <cfRule type="cellIs" priority="106" operator="lessThan">
      <formula>0.5</formula>
    </cfRule>
    <cfRule type="cellIs" priority="107" operator="between">
      <formula>0</formula>
      <formula>0.5</formula>
    </cfRule>
    <cfRule type="cellIs" priority="108" operator="lessThan">
      <formula>"&lt;50%"</formula>
    </cfRule>
  </conditionalFormatting>
  <conditionalFormatting sqref="AK19:AK21">
    <cfRule type="cellIs" priority="91" operator="between">
      <formula>0</formula>
      <formula>0.49</formula>
    </cfRule>
    <cfRule type="cellIs" priority="92" operator="lessThan">
      <formula>#REF!</formula>
    </cfRule>
    <cfRule type="expression" priority="93">
      <formula>#REF!&lt;50%</formula>
    </cfRule>
    <cfRule type="cellIs" dxfId="0" priority="94" operator="between">
      <formula>0.6</formula>
      <formula>0.69</formula>
    </cfRule>
    <cfRule type="cellIs" dxfId="1" priority="95" operator="between">
      <formula>0.5</formula>
      <formula>0.59</formula>
    </cfRule>
    <cfRule type="cellIs" dxfId="2" priority="96" operator="between">
      <formula>0</formula>
      <formula>0.49</formula>
    </cfRule>
    <cfRule type="cellIs" priority="97" operator="lessThan">
      <formula>0.5</formula>
    </cfRule>
    <cfRule type="cellIs" priority="98" operator="between">
      <formula>0</formula>
      <formula>0.5</formula>
    </cfRule>
    <cfRule type="cellIs" priority="99" operator="lessThan">
      <formula>"&lt;50%"</formula>
    </cfRule>
  </conditionalFormatting>
  <conditionalFormatting sqref="AO10:AO17">
    <cfRule type="cellIs" priority="82" operator="between">
      <formula>0</formula>
      <formula>0.49</formula>
    </cfRule>
    <cfRule type="cellIs" priority="83" operator="lessThan">
      <formula>#REF!</formula>
    </cfRule>
    <cfRule type="expression" priority="84">
      <formula>#REF!&lt;50%</formula>
    </cfRule>
    <cfRule type="cellIs" dxfId="0" priority="85" operator="between">
      <formula>0.6</formula>
      <formula>0.69</formula>
    </cfRule>
    <cfRule type="cellIs" dxfId="1" priority="86" operator="between">
      <formula>0.5</formula>
      <formula>0.59</formula>
    </cfRule>
    <cfRule type="cellIs" dxfId="2" priority="87" operator="between">
      <formula>0</formula>
      <formula>0.49</formula>
    </cfRule>
    <cfRule type="cellIs" priority="88" operator="lessThan">
      <formula>0.5</formula>
    </cfRule>
    <cfRule type="cellIs" priority="89" operator="between">
      <formula>0</formula>
      <formula>0.5</formula>
    </cfRule>
    <cfRule type="cellIs" priority="90" operator="lessThan">
      <formula>"&lt;50%"</formula>
    </cfRule>
  </conditionalFormatting>
  <conditionalFormatting sqref="AO19:AO21">
    <cfRule type="cellIs" priority="73" operator="between">
      <formula>0</formula>
      <formula>0.49</formula>
    </cfRule>
    <cfRule type="cellIs" priority="74" operator="lessThan">
      <formula>#REF!</formula>
    </cfRule>
    <cfRule type="expression" priority="75">
      <formula>#REF!&lt;50%</formula>
    </cfRule>
    <cfRule type="cellIs" dxfId="0" priority="76" operator="between">
      <formula>0.6</formula>
      <formula>0.69</formula>
    </cfRule>
    <cfRule type="cellIs" dxfId="1" priority="77" operator="between">
      <formula>0.5</formula>
      <formula>0.59</formula>
    </cfRule>
    <cfRule type="cellIs" dxfId="2" priority="78" operator="between">
      <formula>0</formula>
      <formula>0.49</formula>
    </cfRule>
    <cfRule type="cellIs" priority="79" operator="lessThan">
      <formula>0.5</formula>
    </cfRule>
    <cfRule type="cellIs" priority="80" operator="between">
      <formula>0</formula>
      <formula>0.5</formula>
    </cfRule>
    <cfRule type="cellIs" priority="81" operator="lessThan">
      <formula>"&lt;50%"</formula>
    </cfRule>
  </conditionalFormatting>
  <conditionalFormatting sqref="AS10:AS17">
    <cfRule type="cellIs" priority="64" operator="between">
      <formula>0</formula>
      <formula>0.49</formula>
    </cfRule>
    <cfRule type="cellIs" priority="65" operator="lessThan">
      <formula>#REF!</formula>
    </cfRule>
    <cfRule type="expression" priority="66">
      <formula>#REF!&lt;50%</formula>
    </cfRule>
    <cfRule type="cellIs" dxfId="0" priority="67" operator="between">
      <formula>0.6</formula>
      <formula>0.69</formula>
    </cfRule>
    <cfRule type="cellIs" dxfId="1" priority="68" operator="between">
      <formula>0.5</formula>
      <formula>0.59</formula>
    </cfRule>
    <cfRule type="cellIs" dxfId="2" priority="69" operator="between">
      <formula>0</formula>
      <formula>0.49</formula>
    </cfRule>
    <cfRule type="cellIs" priority="70" operator="lessThan">
      <formula>0.5</formula>
    </cfRule>
    <cfRule type="cellIs" priority="71" operator="between">
      <formula>0</formula>
      <formula>0.5</formula>
    </cfRule>
    <cfRule type="cellIs" priority="72" operator="lessThan">
      <formula>"&lt;50%"</formula>
    </cfRule>
  </conditionalFormatting>
  <conditionalFormatting sqref="AS19:AS21">
    <cfRule type="cellIs" priority="55" operator="between">
      <formula>0</formula>
      <formula>0.49</formula>
    </cfRule>
    <cfRule type="cellIs" priority="56" operator="lessThan">
      <formula>#REF!</formula>
    </cfRule>
    <cfRule type="expression" priority="57">
      <formula>#REF!&lt;50%</formula>
    </cfRule>
    <cfRule type="cellIs" dxfId="0" priority="58" operator="between">
      <formula>0.6</formula>
      <formula>0.69</formula>
    </cfRule>
    <cfRule type="cellIs" dxfId="1" priority="59" operator="between">
      <formula>0.5</formula>
      <formula>0.59</formula>
    </cfRule>
    <cfRule type="cellIs" dxfId="2" priority="60" operator="between">
      <formula>0</formula>
      <formula>0.49</formula>
    </cfRule>
    <cfRule type="cellIs" priority="61" operator="lessThan">
      <formula>0.5</formula>
    </cfRule>
    <cfRule type="cellIs" priority="62" operator="between">
      <formula>0</formula>
      <formula>0.5</formula>
    </cfRule>
    <cfRule type="cellIs" priority="63" operator="lessThan">
      <formula>"&lt;50%"</formula>
    </cfRule>
  </conditionalFormatting>
  <conditionalFormatting sqref="AW10:AW17">
    <cfRule type="cellIs" priority="54" operator="lessThan">
      <formula>"&lt;50%"</formula>
    </cfRule>
    <cfRule type="cellIs" priority="53" operator="between">
      <formula>0</formula>
      <formula>0.5</formula>
    </cfRule>
    <cfRule type="cellIs" priority="52" operator="lessThan">
      <formula>0.5</formula>
    </cfRule>
    <cfRule type="cellIs" dxfId="2" priority="51" operator="between">
      <formula>0</formula>
      <formula>0.49</formula>
    </cfRule>
    <cfRule type="cellIs" dxfId="1" priority="50" operator="between">
      <formula>0.5</formula>
      <formula>0.59</formula>
    </cfRule>
    <cfRule type="cellIs" dxfId="0" priority="49" operator="between">
      <formula>0.6</formula>
      <formula>0.69</formula>
    </cfRule>
    <cfRule type="expression" priority="48">
      <formula>#REF!&lt;50%</formula>
    </cfRule>
    <cfRule type="cellIs" priority="47" operator="lessThan">
      <formula>#REF!</formula>
    </cfRule>
    <cfRule type="cellIs" priority="46" operator="between">
      <formula>0</formula>
      <formula>0.49</formula>
    </cfRule>
  </conditionalFormatting>
  <conditionalFormatting sqref="AW19:AW21">
    <cfRule type="cellIs" priority="45" operator="lessThan">
      <formula>"&lt;50%"</formula>
    </cfRule>
    <cfRule type="cellIs" priority="44" operator="between">
      <formula>0</formula>
      <formula>0.5</formula>
    </cfRule>
    <cfRule type="cellIs" priority="43" operator="lessThan">
      <formula>0.5</formula>
    </cfRule>
    <cfRule type="cellIs" dxfId="2" priority="42" operator="between">
      <formula>0</formula>
      <formula>0.49</formula>
    </cfRule>
    <cfRule type="cellIs" dxfId="1" priority="41" operator="between">
      <formula>0.5</formula>
      <formula>0.59</formula>
    </cfRule>
    <cfRule type="cellIs" dxfId="0" priority="40" operator="between">
      <formula>0.6</formula>
      <formula>0.69</formula>
    </cfRule>
    <cfRule type="expression" priority="39">
      <formula>#REF!&lt;50%</formula>
    </cfRule>
    <cfRule type="cellIs" priority="38" operator="lessThan">
      <formula>#REF!</formula>
    </cfRule>
    <cfRule type="cellIs" priority="37" operator="between">
      <formula>0</formula>
      <formula>0.49</formula>
    </cfRule>
  </conditionalFormatting>
  <conditionalFormatting sqref="BA10:BA17">
    <cfRule type="cellIs" priority="36" operator="lessThan">
      <formula>"&lt;50%"</formula>
    </cfRule>
    <cfRule type="cellIs" priority="35" operator="between">
      <formula>0</formula>
      <formula>0.5</formula>
    </cfRule>
    <cfRule type="cellIs" priority="34" operator="lessThan">
      <formula>0.5</formula>
    </cfRule>
    <cfRule type="cellIs" dxfId="2" priority="33" operator="between">
      <formula>0</formula>
      <formula>0.49</formula>
    </cfRule>
    <cfRule type="cellIs" dxfId="1" priority="32" operator="between">
      <formula>0.5</formula>
      <formula>0.59</formula>
    </cfRule>
    <cfRule type="cellIs" dxfId="0" priority="31" operator="between">
      <formula>0.6</formula>
      <formula>0.69</formula>
    </cfRule>
    <cfRule type="expression" priority="30">
      <formula>#REF!&lt;50%</formula>
    </cfRule>
    <cfRule type="cellIs" priority="29" operator="lessThan">
      <formula>#REF!</formula>
    </cfRule>
    <cfRule type="cellIs" priority="28" operator="between">
      <formula>0</formula>
      <formula>0.49</formula>
    </cfRule>
  </conditionalFormatting>
  <conditionalFormatting sqref="BA19:BA21">
    <cfRule type="cellIs" priority="27" operator="lessThan">
      <formula>"&lt;50%"</formula>
    </cfRule>
    <cfRule type="cellIs" priority="26" operator="between">
      <formula>0</formula>
      <formula>0.5</formula>
    </cfRule>
    <cfRule type="cellIs" priority="25" operator="lessThan">
      <formula>0.5</formula>
    </cfRule>
    <cfRule type="cellIs" dxfId="2" priority="24" operator="between">
      <formula>0</formula>
      <formula>0.49</formula>
    </cfRule>
    <cfRule type="cellIs" dxfId="1" priority="23" operator="between">
      <formula>0.5</formula>
      <formula>0.59</formula>
    </cfRule>
    <cfRule type="cellIs" dxfId="0" priority="22" operator="between">
      <formula>0.6</formula>
      <formula>0.69</formula>
    </cfRule>
    <cfRule type="expression" priority="21">
      <formula>#REF!&lt;50%</formula>
    </cfRule>
    <cfRule type="cellIs" priority="20" operator="lessThan">
      <formula>#REF!</formula>
    </cfRule>
    <cfRule type="cellIs" priority="19" operator="between">
      <formula>0</formula>
      <formula>0.49</formula>
    </cfRule>
  </conditionalFormatting>
  <conditionalFormatting sqref="BE10:BE17">
    <cfRule type="cellIs" priority="18" operator="lessThan">
      <formula>"&lt;50%"</formula>
    </cfRule>
    <cfRule type="cellIs" priority="17" operator="between">
      <formula>0</formula>
      <formula>0.5</formula>
    </cfRule>
    <cfRule type="cellIs" priority="16" operator="lessThan">
      <formula>0.5</formula>
    </cfRule>
    <cfRule type="cellIs" dxfId="2" priority="15" operator="between">
      <formula>0</formula>
      <formula>0.49</formula>
    </cfRule>
    <cfRule type="cellIs" dxfId="1" priority="14" operator="between">
      <formula>0.5</formula>
      <formula>0.59</formula>
    </cfRule>
    <cfRule type="cellIs" dxfId="0" priority="13" operator="between">
      <formula>0.6</formula>
      <formula>0.69</formula>
    </cfRule>
    <cfRule type="expression" priority="12">
      <formula>#REF!&lt;50%</formula>
    </cfRule>
    <cfRule type="cellIs" priority="11" operator="lessThan">
      <formula>#REF!</formula>
    </cfRule>
    <cfRule type="cellIs" priority="10" operator="between">
      <formula>0</formula>
      <formula>0.49</formula>
    </cfRule>
  </conditionalFormatting>
  <conditionalFormatting sqref="BE19:BE21">
    <cfRule type="cellIs" priority="9" operator="lessThan">
      <formula>"&lt;50%"</formula>
    </cfRule>
    <cfRule type="cellIs" priority="8" operator="between">
      <formula>0</formula>
      <formula>0.5</formula>
    </cfRule>
    <cfRule type="cellIs" priority="7" operator="lessThan">
      <formula>0.5</formula>
    </cfRule>
    <cfRule type="cellIs" dxfId="2" priority="6" operator="between">
      <formula>0</formula>
      <formula>0.49</formula>
    </cfRule>
    <cfRule type="cellIs" dxfId="1" priority="5" operator="between">
      <formula>0.5</formula>
      <formula>0.59</formula>
    </cfRule>
    <cfRule type="cellIs" dxfId="0" priority="4" operator="between">
      <formula>0.6</formula>
      <formula>0.69</formula>
    </cfRule>
    <cfRule type="expression" priority="3">
      <formula>#REF!&lt;50%</formula>
    </cfRule>
    <cfRule type="cellIs" priority="2" operator="lessThan">
      <formula>#REF!</formula>
    </cfRule>
    <cfRule type="cellIs" priority="1" operator="between">
      <formula>0</formula>
      <formula>0.49</formula>
    </cfRule>
  </conditionalFormatting>
  <pageMargins left="0.7" right="0.7" top="0.75" bottom="0.75" header="0.3" footer="0.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workbookViewId="0">
      <selection activeCell="R13" sqref="R13"/>
    </sheetView>
  </sheetViews>
  <sheetFormatPr defaultColWidth="9.14285714285714" defaultRowHeight="15"/>
  <cols>
    <col min="12" max="12" width="12.8571428571429"/>
    <col min="18" max="18" width="12.8571428571429"/>
  </cols>
  <sheetData>
    <row r="1" spans="1:1">
      <c r="A1" s="1" t="s">
        <v>35</v>
      </c>
    </row>
    <row r="2" spans="1:30">
      <c r="A2" s="2">
        <v>46039</v>
      </c>
      <c r="B2" s="3"/>
      <c r="C2" s="3"/>
      <c r="D2" s="3"/>
      <c r="E2" s="4" t="s">
        <v>36</v>
      </c>
      <c r="F2" s="4"/>
      <c r="G2" s="2">
        <v>46041</v>
      </c>
      <c r="H2" s="3"/>
      <c r="I2" s="3"/>
      <c r="J2" s="3"/>
      <c r="K2" s="4" t="s">
        <v>36</v>
      </c>
      <c r="L2" s="4"/>
      <c r="M2" s="2">
        <v>46042</v>
      </c>
      <c r="N2" s="3"/>
      <c r="O2" s="3"/>
      <c r="P2" s="3"/>
      <c r="Q2" s="4" t="s">
        <v>36</v>
      </c>
      <c r="R2" s="4"/>
      <c r="S2" s="2">
        <v>46043</v>
      </c>
      <c r="T2" s="3"/>
      <c r="U2" s="3"/>
      <c r="V2" s="3"/>
      <c r="W2" s="4" t="s">
        <v>36</v>
      </c>
      <c r="X2" s="4"/>
      <c r="Y2" s="2">
        <v>46044</v>
      </c>
      <c r="Z2" s="3"/>
      <c r="AA2" s="3"/>
      <c r="AB2" s="3"/>
      <c r="AC2" s="4" t="s">
        <v>36</v>
      </c>
      <c r="AD2" s="4"/>
    </row>
    <row r="3" ht="28.5" spans="1:30">
      <c r="A3" s="5" t="s">
        <v>37</v>
      </c>
      <c r="B3" s="5" t="s">
        <v>11</v>
      </c>
      <c r="C3" s="5" t="s">
        <v>38</v>
      </c>
      <c r="D3" s="6" t="s">
        <v>39</v>
      </c>
      <c r="E3" s="7" t="s">
        <v>19</v>
      </c>
      <c r="F3" s="7" t="s">
        <v>40</v>
      </c>
      <c r="G3" s="5" t="s">
        <v>37</v>
      </c>
      <c r="H3" s="5" t="s">
        <v>11</v>
      </c>
      <c r="I3" s="5" t="s">
        <v>38</v>
      </c>
      <c r="J3" s="6" t="s">
        <v>39</v>
      </c>
      <c r="K3" s="7" t="s">
        <v>19</v>
      </c>
      <c r="L3" s="7" t="s">
        <v>40</v>
      </c>
      <c r="M3" s="5" t="s">
        <v>37</v>
      </c>
      <c r="N3" s="5" t="s">
        <v>11</v>
      </c>
      <c r="O3" s="5" t="s">
        <v>38</v>
      </c>
      <c r="P3" s="6" t="s">
        <v>39</v>
      </c>
      <c r="Q3" s="7" t="s">
        <v>19</v>
      </c>
      <c r="R3" s="7" t="s">
        <v>40</v>
      </c>
      <c r="S3" s="5" t="s">
        <v>37</v>
      </c>
      <c r="T3" s="5" t="s">
        <v>11</v>
      </c>
      <c r="U3" s="5" t="s">
        <v>38</v>
      </c>
      <c r="V3" s="6" t="s">
        <v>39</v>
      </c>
      <c r="W3" s="7" t="s">
        <v>19</v>
      </c>
      <c r="X3" s="7" t="s">
        <v>40</v>
      </c>
      <c r="Y3" s="5" t="s">
        <v>37</v>
      </c>
      <c r="Z3" s="5" t="s">
        <v>11</v>
      </c>
      <c r="AA3" s="5" t="s">
        <v>38</v>
      </c>
      <c r="AB3" s="6" t="s">
        <v>39</v>
      </c>
      <c r="AC3" s="7" t="s">
        <v>19</v>
      </c>
      <c r="AD3" s="7" t="s">
        <v>40</v>
      </c>
    </row>
    <row r="4" spans="1:30">
      <c r="A4" s="8">
        <v>1</v>
      </c>
      <c r="B4" s="8" t="s">
        <v>23</v>
      </c>
      <c r="C4" s="9">
        <v>15</v>
      </c>
      <c r="D4" s="8"/>
      <c r="E4" s="8">
        <v>12</v>
      </c>
      <c r="F4" s="10">
        <f>E4/C4</f>
        <v>0.8</v>
      </c>
      <c r="G4" s="8">
        <v>1</v>
      </c>
      <c r="H4" s="8" t="s">
        <v>23</v>
      </c>
      <c r="I4" s="9"/>
      <c r="J4" s="9"/>
      <c r="K4" s="11"/>
      <c r="L4" s="11"/>
      <c r="M4" s="8">
        <v>1</v>
      </c>
      <c r="N4" s="8" t="s">
        <v>23</v>
      </c>
      <c r="O4" s="9"/>
      <c r="P4" s="9"/>
      <c r="Q4" s="11"/>
      <c r="R4" s="11"/>
      <c r="S4" s="8">
        <v>1</v>
      </c>
      <c r="T4" s="8" t="s">
        <v>23</v>
      </c>
      <c r="U4" s="9"/>
      <c r="V4" s="9"/>
      <c r="W4" s="11"/>
      <c r="X4" s="11"/>
      <c r="Y4" s="8">
        <v>1</v>
      </c>
      <c r="Z4" s="8" t="s">
        <v>23</v>
      </c>
      <c r="AA4" s="9"/>
      <c r="AB4" s="9"/>
      <c r="AC4" s="11"/>
      <c r="AD4" s="11"/>
    </row>
    <row r="5" spans="1:30">
      <c r="A5" s="8">
        <v>2</v>
      </c>
      <c r="B5" s="8" t="s">
        <v>26</v>
      </c>
      <c r="C5" s="9">
        <v>0</v>
      </c>
      <c r="D5" s="8"/>
      <c r="E5" s="8">
        <v>7</v>
      </c>
      <c r="F5" s="10">
        <v>7</v>
      </c>
      <c r="G5" s="8">
        <v>2</v>
      </c>
      <c r="H5" s="8" t="s">
        <v>26</v>
      </c>
      <c r="I5" s="9"/>
      <c r="J5" s="9"/>
      <c r="K5" s="11"/>
      <c r="L5" s="11"/>
      <c r="M5" s="8">
        <v>2</v>
      </c>
      <c r="N5" s="8" t="s">
        <v>26</v>
      </c>
      <c r="O5" s="9"/>
      <c r="P5" s="9"/>
      <c r="Q5" s="11"/>
      <c r="R5" s="11"/>
      <c r="S5" s="8">
        <v>2</v>
      </c>
      <c r="T5" s="8" t="s">
        <v>26</v>
      </c>
      <c r="U5" s="9"/>
      <c r="V5" s="9"/>
      <c r="W5" s="11"/>
      <c r="X5" s="11"/>
      <c r="Y5" s="8">
        <v>2</v>
      </c>
      <c r="Z5" s="8" t="s">
        <v>26</v>
      </c>
      <c r="AA5" s="9"/>
      <c r="AB5" s="9"/>
      <c r="AC5" s="11"/>
      <c r="AD5" s="11"/>
    </row>
    <row r="6" spans="1:30">
      <c r="A6" s="8">
        <v>3</v>
      </c>
      <c r="B6" s="8" t="s">
        <v>29</v>
      </c>
      <c r="C6" s="9">
        <v>5</v>
      </c>
      <c r="D6" s="8"/>
      <c r="E6" s="8">
        <v>3</v>
      </c>
      <c r="F6" s="10">
        <f t="shared" ref="F6:F14" si="0">E6/C6</f>
        <v>0.6</v>
      </c>
      <c r="G6" s="8">
        <v>3</v>
      </c>
      <c r="H6" s="8" t="s">
        <v>29</v>
      </c>
      <c r="I6" s="9"/>
      <c r="J6" s="9"/>
      <c r="K6" s="11"/>
      <c r="L6" s="11"/>
      <c r="M6" s="8">
        <v>3</v>
      </c>
      <c r="N6" s="8" t="s">
        <v>29</v>
      </c>
      <c r="O6" s="9"/>
      <c r="P6" s="9"/>
      <c r="Q6" s="11"/>
      <c r="R6" s="11"/>
      <c r="S6" s="8">
        <v>3</v>
      </c>
      <c r="T6" s="8" t="s">
        <v>29</v>
      </c>
      <c r="U6" s="9"/>
      <c r="V6" s="9"/>
      <c r="W6" s="11"/>
      <c r="X6" s="11"/>
      <c r="Y6" s="8">
        <v>3</v>
      </c>
      <c r="Z6" s="8" t="s">
        <v>29</v>
      </c>
      <c r="AA6" s="9"/>
      <c r="AB6" s="9"/>
      <c r="AC6" s="11"/>
      <c r="AD6" s="11"/>
    </row>
    <row r="7" spans="1:30">
      <c r="A7" s="8">
        <v>4</v>
      </c>
      <c r="B7" s="8" t="s">
        <v>41</v>
      </c>
      <c r="C7" s="9">
        <v>0</v>
      </c>
      <c r="D7" s="8"/>
      <c r="E7" s="8">
        <v>0</v>
      </c>
      <c r="F7" s="10">
        <v>0</v>
      </c>
      <c r="G7" s="8">
        <v>4</v>
      </c>
      <c r="H7" s="8" t="s">
        <v>41</v>
      </c>
      <c r="I7" s="9"/>
      <c r="J7" s="9"/>
      <c r="K7" s="11"/>
      <c r="L7" s="11"/>
      <c r="M7" s="8">
        <v>4</v>
      </c>
      <c r="N7" s="8" t="s">
        <v>41</v>
      </c>
      <c r="O7" s="9"/>
      <c r="P7" s="9"/>
      <c r="Q7" s="11"/>
      <c r="R7" s="11"/>
      <c r="S7" s="8">
        <v>4</v>
      </c>
      <c r="T7" s="8" t="s">
        <v>41</v>
      </c>
      <c r="U7" s="9"/>
      <c r="V7" s="9"/>
      <c r="W7" s="11"/>
      <c r="X7" s="11"/>
      <c r="Y7" s="8">
        <v>4</v>
      </c>
      <c r="Z7" s="8" t="s">
        <v>41</v>
      </c>
      <c r="AA7" s="9"/>
      <c r="AB7" s="9"/>
      <c r="AC7" s="11"/>
      <c r="AD7" s="11"/>
    </row>
    <row r="8" spans="1:30">
      <c r="A8" s="8">
        <v>5</v>
      </c>
      <c r="B8" s="8" t="s">
        <v>42</v>
      </c>
      <c r="C8" s="9">
        <v>2</v>
      </c>
      <c r="D8" s="8"/>
      <c r="E8" s="8">
        <v>1</v>
      </c>
      <c r="F8" s="10">
        <f t="shared" si="0"/>
        <v>0.5</v>
      </c>
      <c r="G8" s="8">
        <v>5</v>
      </c>
      <c r="H8" s="8" t="s">
        <v>42</v>
      </c>
      <c r="I8" s="9"/>
      <c r="J8" s="9"/>
      <c r="K8" s="11"/>
      <c r="L8" s="11"/>
      <c r="M8" s="8">
        <v>5</v>
      </c>
      <c r="N8" s="8" t="s">
        <v>42</v>
      </c>
      <c r="O8" s="9"/>
      <c r="P8" s="9"/>
      <c r="Q8" s="11"/>
      <c r="R8" s="11"/>
      <c r="S8" s="8">
        <v>5</v>
      </c>
      <c r="T8" s="8" t="s">
        <v>42</v>
      </c>
      <c r="U8" s="9"/>
      <c r="V8" s="9"/>
      <c r="W8" s="11"/>
      <c r="X8" s="11"/>
      <c r="Y8" s="8">
        <v>5</v>
      </c>
      <c r="Z8" s="8" t="s">
        <v>42</v>
      </c>
      <c r="AA8" s="9"/>
      <c r="AB8" s="9"/>
      <c r="AC8" s="11"/>
      <c r="AD8" s="11"/>
    </row>
    <row r="9" spans="1:30">
      <c r="A9" s="8">
        <v>6</v>
      </c>
      <c r="B9" s="8" t="s">
        <v>25</v>
      </c>
      <c r="C9" s="9">
        <v>3</v>
      </c>
      <c r="D9" s="8"/>
      <c r="E9" s="8">
        <v>3</v>
      </c>
      <c r="F9" s="10">
        <f t="shared" si="0"/>
        <v>1</v>
      </c>
      <c r="G9" s="8">
        <v>6</v>
      </c>
      <c r="H9" s="8" t="s">
        <v>25</v>
      </c>
      <c r="I9" s="9"/>
      <c r="J9" s="9"/>
      <c r="K9" s="11"/>
      <c r="L9" s="11"/>
      <c r="M9" s="8">
        <v>6</v>
      </c>
      <c r="N9" s="8" t="s">
        <v>25</v>
      </c>
      <c r="O9" s="9"/>
      <c r="P9" s="9"/>
      <c r="Q9" s="11"/>
      <c r="R9" s="11"/>
      <c r="S9" s="8">
        <v>6</v>
      </c>
      <c r="T9" s="8" t="s">
        <v>25</v>
      </c>
      <c r="U9" s="9"/>
      <c r="V9" s="9"/>
      <c r="W9" s="11"/>
      <c r="X9" s="11"/>
      <c r="Y9" s="8">
        <v>6</v>
      </c>
      <c r="Z9" s="8" t="s">
        <v>25</v>
      </c>
      <c r="AA9" s="9"/>
      <c r="AB9" s="9"/>
      <c r="AC9" s="11"/>
      <c r="AD9" s="11"/>
    </row>
    <row r="10" spans="1:30">
      <c r="A10" s="8">
        <v>7</v>
      </c>
      <c r="B10" s="8" t="s">
        <v>43</v>
      </c>
      <c r="C10" s="9">
        <v>5</v>
      </c>
      <c r="D10" s="8"/>
      <c r="E10" s="8">
        <v>11</v>
      </c>
      <c r="F10" s="10">
        <f t="shared" si="0"/>
        <v>2.2</v>
      </c>
      <c r="G10" s="8">
        <v>7</v>
      </c>
      <c r="H10" s="8" t="s">
        <v>43</v>
      </c>
      <c r="I10" s="9"/>
      <c r="J10" s="9"/>
      <c r="K10" s="11"/>
      <c r="L10" s="11"/>
      <c r="M10" s="8">
        <v>7</v>
      </c>
      <c r="N10" s="8" t="s">
        <v>43</v>
      </c>
      <c r="O10" s="9"/>
      <c r="P10" s="9"/>
      <c r="Q10" s="11"/>
      <c r="R10" s="11"/>
      <c r="S10" s="8">
        <v>7</v>
      </c>
      <c r="T10" s="8" t="s">
        <v>43</v>
      </c>
      <c r="U10" s="9"/>
      <c r="V10" s="9"/>
      <c r="W10" s="11"/>
      <c r="X10" s="11"/>
      <c r="Y10" s="8">
        <v>7</v>
      </c>
      <c r="Z10" s="8" t="s">
        <v>43</v>
      </c>
      <c r="AA10" s="9"/>
      <c r="AB10" s="9"/>
      <c r="AC10" s="11"/>
      <c r="AD10" s="11"/>
    </row>
    <row r="11" spans="1:30">
      <c r="A11" s="8">
        <v>8</v>
      </c>
      <c r="B11" s="8" t="s">
        <v>30</v>
      </c>
      <c r="C11" s="9">
        <v>4</v>
      </c>
      <c r="D11" s="8"/>
      <c r="E11" s="8">
        <v>3</v>
      </c>
      <c r="F11" s="10">
        <f t="shared" si="0"/>
        <v>0.75</v>
      </c>
      <c r="G11" s="8">
        <v>8</v>
      </c>
      <c r="H11" s="8" t="s">
        <v>30</v>
      </c>
      <c r="I11" s="9"/>
      <c r="J11" s="9"/>
      <c r="K11" s="11"/>
      <c r="L11" s="11"/>
      <c r="M11" s="8">
        <v>8</v>
      </c>
      <c r="N11" s="8" t="s">
        <v>30</v>
      </c>
      <c r="O11" s="9"/>
      <c r="P11" s="9"/>
      <c r="Q11" s="11"/>
      <c r="R11" s="11"/>
      <c r="S11" s="8">
        <v>8</v>
      </c>
      <c r="T11" s="8" t="s">
        <v>30</v>
      </c>
      <c r="U11" s="9"/>
      <c r="V11" s="9"/>
      <c r="W11" s="11"/>
      <c r="X11" s="11"/>
      <c r="Y11" s="8">
        <v>8</v>
      </c>
      <c r="Z11" s="8" t="s">
        <v>30</v>
      </c>
      <c r="AA11" s="9"/>
      <c r="AB11" s="9"/>
      <c r="AC11" s="11"/>
      <c r="AD11" s="11"/>
    </row>
    <row r="12" spans="1:30">
      <c r="A12" s="8">
        <v>9</v>
      </c>
      <c r="B12" s="8" t="s">
        <v>32</v>
      </c>
      <c r="C12" s="9">
        <v>7</v>
      </c>
      <c r="D12" s="8"/>
      <c r="E12" s="8">
        <v>0</v>
      </c>
      <c r="F12" s="10">
        <f t="shared" si="0"/>
        <v>0</v>
      </c>
      <c r="G12" s="8">
        <v>9</v>
      </c>
      <c r="H12" s="8" t="s">
        <v>32</v>
      </c>
      <c r="I12" s="9"/>
      <c r="J12" s="9"/>
      <c r="K12" s="11"/>
      <c r="L12" s="11"/>
      <c r="M12" s="8">
        <v>9</v>
      </c>
      <c r="N12" s="8" t="s">
        <v>32</v>
      </c>
      <c r="O12" s="9"/>
      <c r="P12" s="9"/>
      <c r="Q12" s="11"/>
      <c r="R12" s="11"/>
      <c r="S12" s="8">
        <v>9</v>
      </c>
      <c r="T12" s="8" t="s">
        <v>32</v>
      </c>
      <c r="U12" s="9"/>
      <c r="V12" s="9"/>
      <c r="W12" s="11"/>
      <c r="X12" s="11"/>
      <c r="Y12" s="8">
        <v>9</v>
      </c>
      <c r="Z12" s="8" t="s">
        <v>32</v>
      </c>
      <c r="AA12" s="9"/>
      <c r="AB12" s="9"/>
      <c r="AC12" s="11"/>
      <c r="AD12" s="11"/>
    </row>
    <row r="13" spans="1:30">
      <c r="A13" s="8">
        <v>10</v>
      </c>
      <c r="B13" s="8" t="s">
        <v>44</v>
      </c>
      <c r="C13" s="9">
        <v>5</v>
      </c>
      <c r="D13" s="8"/>
      <c r="E13" s="8">
        <v>6</v>
      </c>
      <c r="F13" s="10">
        <f t="shared" si="0"/>
        <v>1.2</v>
      </c>
      <c r="G13" s="8">
        <v>10</v>
      </c>
      <c r="H13" s="8" t="s">
        <v>44</v>
      </c>
      <c r="I13" s="9"/>
      <c r="J13" s="9"/>
      <c r="K13" s="11"/>
      <c r="L13" s="11"/>
      <c r="M13" s="8">
        <v>10</v>
      </c>
      <c r="N13" s="8" t="s">
        <v>44</v>
      </c>
      <c r="O13" s="9"/>
      <c r="P13" s="9"/>
      <c r="Q13" s="11"/>
      <c r="R13" s="11"/>
      <c r="S13" s="8">
        <v>10</v>
      </c>
      <c r="T13" s="8" t="s">
        <v>44</v>
      </c>
      <c r="U13" s="9"/>
      <c r="V13" s="9"/>
      <c r="W13" s="11"/>
      <c r="X13" s="11"/>
      <c r="Y13" s="8">
        <v>10</v>
      </c>
      <c r="Z13" s="8" t="s">
        <v>44</v>
      </c>
      <c r="AA13" s="9"/>
      <c r="AB13" s="9"/>
      <c r="AC13" s="11"/>
      <c r="AD13" s="11"/>
    </row>
    <row r="14" spans="1:30">
      <c r="A14" s="8">
        <v>11</v>
      </c>
      <c r="B14" s="8" t="s">
        <v>34</v>
      </c>
      <c r="C14" s="9">
        <v>10</v>
      </c>
      <c r="D14" s="8"/>
      <c r="E14" s="8">
        <v>17</v>
      </c>
      <c r="F14" s="10">
        <f t="shared" si="0"/>
        <v>1.7</v>
      </c>
      <c r="G14" s="8">
        <v>11</v>
      </c>
      <c r="H14" s="8" t="s">
        <v>34</v>
      </c>
      <c r="I14" s="9"/>
      <c r="J14" s="9"/>
      <c r="K14" s="11"/>
      <c r="L14" s="11"/>
      <c r="M14" s="8">
        <v>11</v>
      </c>
      <c r="N14" s="8" t="s">
        <v>34</v>
      </c>
      <c r="O14" s="9"/>
      <c r="P14" s="9"/>
      <c r="Q14" s="11"/>
      <c r="R14" s="11"/>
      <c r="S14" s="8">
        <v>11</v>
      </c>
      <c r="T14" s="8" t="s">
        <v>34</v>
      </c>
      <c r="U14" s="9"/>
      <c r="V14" s="9"/>
      <c r="W14" s="11"/>
      <c r="X14" s="11"/>
      <c r="Y14" s="8">
        <v>11</v>
      </c>
      <c r="Z14" s="8" t="s">
        <v>34</v>
      </c>
      <c r="AA14" s="9"/>
      <c r="AB14" s="9"/>
      <c r="AC14" s="11"/>
      <c r="AD14" s="11"/>
    </row>
    <row r="15" spans="3:3">
      <c r="C15">
        <f>SUM(C4:C14)</f>
        <v>56</v>
      </c>
    </row>
    <row r="16" spans="1:1">
      <c r="A16" s="1" t="s">
        <v>45</v>
      </c>
    </row>
    <row r="17" spans="1:30">
      <c r="A17" s="2">
        <v>46039</v>
      </c>
      <c r="B17" s="3"/>
      <c r="C17" s="3"/>
      <c r="D17" s="3"/>
      <c r="E17" s="4" t="s">
        <v>36</v>
      </c>
      <c r="F17" s="4"/>
      <c r="G17" s="2">
        <v>46041</v>
      </c>
      <c r="H17" s="3"/>
      <c r="I17" s="3"/>
      <c r="J17" s="3"/>
      <c r="K17" s="4" t="s">
        <v>36</v>
      </c>
      <c r="L17" s="4"/>
      <c r="M17" s="2">
        <v>46042</v>
      </c>
      <c r="N17" s="3"/>
      <c r="O17" s="3"/>
      <c r="P17" s="3"/>
      <c r="Q17" s="4" t="s">
        <v>36</v>
      </c>
      <c r="R17" s="4"/>
      <c r="S17" s="2">
        <v>46043</v>
      </c>
      <c r="T17" s="3"/>
      <c r="U17" s="3"/>
      <c r="V17" s="3"/>
      <c r="W17" s="4" t="s">
        <v>36</v>
      </c>
      <c r="X17" s="13">
        <v>50</v>
      </c>
      <c r="Y17" s="2">
        <v>46044</v>
      </c>
      <c r="Z17" s="3"/>
      <c r="AA17" s="3"/>
      <c r="AB17" s="3"/>
      <c r="AC17" s="4" t="s">
        <v>36</v>
      </c>
      <c r="AD17" s="4"/>
    </row>
    <row r="18" ht="28.5" spans="1:30">
      <c r="A18" s="5" t="s">
        <v>37</v>
      </c>
      <c r="B18" s="5" t="s">
        <v>11</v>
      </c>
      <c r="C18" s="5" t="s">
        <v>38</v>
      </c>
      <c r="D18" s="6" t="s">
        <v>39</v>
      </c>
      <c r="E18" s="7" t="s">
        <v>19</v>
      </c>
      <c r="F18" s="7" t="s">
        <v>40</v>
      </c>
      <c r="G18" s="5" t="s">
        <v>37</v>
      </c>
      <c r="H18" s="5" t="s">
        <v>11</v>
      </c>
      <c r="I18" s="5" t="s">
        <v>38</v>
      </c>
      <c r="J18" s="6" t="s">
        <v>39</v>
      </c>
      <c r="K18" s="7" t="s">
        <v>19</v>
      </c>
      <c r="L18" s="7" t="s">
        <v>40</v>
      </c>
      <c r="M18" s="5" t="s">
        <v>37</v>
      </c>
      <c r="N18" s="5" t="s">
        <v>11</v>
      </c>
      <c r="O18" s="5" t="s">
        <v>38</v>
      </c>
      <c r="P18" s="6" t="s">
        <v>39</v>
      </c>
      <c r="Q18" s="7" t="s">
        <v>19</v>
      </c>
      <c r="R18" s="7" t="s">
        <v>40</v>
      </c>
      <c r="S18" s="5" t="s">
        <v>37</v>
      </c>
      <c r="T18" s="5" t="s">
        <v>11</v>
      </c>
      <c r="U18" s="5" t="s">
        <v>38</v>
      </c>
      <c r="V18" s="6" t="s">
        <v>39</v>
      </c>
      <c r="W18" s="7" t="s">
        <v>19</v>
      </c>
      <c r="X18" s="7" t="s">
        <v>40</v>
      </c>
      <c r="Y18" s="5" t="s">
        <v>37</v>
      </c>
      <c r="Z18" s="5" t="s">
        <v>11</v>
      </c>
      <c r="AA18" s="5" t="s">
        <v>38</v>
      </c>
      <c r="AB18" s="6" t="s">
        <v>39</v>
      </c>
      <c r="AC18" s="7" t="s">
        <v>19</v>
      </c>
      <c r="AD18" s="7" t="s">
        <v>40</v>
      </c>
    </row>
    <row r="19" spans="1:30">
      <c r="A19" s="8">
        <v>1</v>
      </c>
      <c r="B19" s="8" t="s">
        <v>23</v>
      </c>
      <c r="C19" s="9">
        <v>15</v>
      </c>
      <c r="D19" s="9"/>
      <c r="E19" s="8">
        <v>12</v>
      </c>
      <c r="F19" s="10">
        <f t="shared" ref="F19:F29" si="1">E19/C19</f>
        <v>0.8</v>
      </c>
      <c r="G19" s="8">
        <v>1</v>
      </c>
      <c r="H19" s="8" t="s">
        <v>23</v>
      </c>
      <c r="I19" s="9">
        <v>7</v>
      </c>
      <c r="J19" s="9"/>
      <c r="K19" s="11">
        <v>9</v>
      </c>
      <c r="L19" s="12">
        <f t="shared" ref="L19:L29" si="2">K19/I19</f>
        <v>1.28571428571429</v>
      </c>
      <c r="M19" s="8">
        <v>1</v>
      </c>
      <c r="N19" s="8" t="s">
        <v>23</v>
      </c>
      <c r="O19" s="9">
        <v>4</v>
      </c>
      <c r="P19" s="9"/>
      <c r="Q19" s="11">
        <v>6</v>
      </c>
      <c r="R19" s="12">
        <f t="shared" ref="R19:R21" si="3">Q19/O19</f>
        <v>1.5</v>
      </c>
      <c r="S19" s="8">
        <v>1</v>
      </c>
      <c r="T19" s="8" t="s">
        <v>23</v>
      </c>
      <c r="U19" s="9">
        <v>8</v>
      </c>
      <c r="V19" s="9"/>
      <c r="W19" s="11">
        <v>7</v>
      </c>
      <c r="X19" s="12">
        <f t="shared" ref="X19:X21" si="4">W19/U19</f>
        <v>0.875</v>
      </c>
      <c r="Y19" s="8">
        <v>1</v>
      </c>
      <c r="Z19" s="8" t="s">
        <v>23</v>
      </c>
      <c r="AA19" s="9">
        <v>5</v>
      </c>
      <c r="AB19" s="9"/>
      <c r="AC19" s="11"/>
      <c r="AD19" s="11"/>
    </row>
    <row r="20" spans="1:30">
      <c r="A20" s="8">
        <v>2</v>
      </c>
      <c r="B20" s="8" t="s">
        <v>26</v>
      </c>
      <c r="C20" s="9">
        <v>0</v>
      </c>
      <c r="D20" s="9"/>
      <c r="E20" s="8">
        <v>7</v>
      </c>
      <c r="F20" s="10">
        <v>7</v>
      </c>
      <c r="G20" s="8">
        <v>2</v>
      </c>
      <c r="H20" s="8" t="s">
        <v>26</v>
      </c>
      <c r="I20" s="9">
        <v>6</v>
      </c>
      <c r="J20" s="9"/>
      <c r="K20" s="11">
        <v>11</v>
      </c>
      <c r="L20" s="12">
        <f t="shared" si="2"/>
        <v>1.83333333333333</v>
      </c>
      <c r="M20" s="8">
        <v>2</v>
      </c>
      <c r="N20" s="8" t="s">
        <v>26</v>
      </c>
      <c r="O20" s="9">
        <v>3</v>
      </c>
      <c r="P20" s="9"/>
      <c r="Q20" s="11">
        <v>4</v>
      </c>
      <c r="R20" s="12">
        <f t="shared" si="3"/>
        <v>1.33333333333333</v>
      </c>
      <c r="S20" s="8">
        <v>2</v>
      </c>
      <c r="T20" s="8" t="s">
        <v>26</v>
      </c>
      <c r="U20" s="9">
        <v>8</v>
      </c>
      <c r="V20" s="9"/>
      <c r="W20" s="11"/>
      <c r="X20" s="12">
        <f t="shared" si="4"/>
        <v>0</v>
      </c>
      <c r="Y20" s="8">
        <v>2</v>
      </c>
      <c r="Z20" s="8" t="s">
        <v>26</v>
      </c>
      <c r="AA20" s="9">
        <v>5</v>
      </c>
      <c r="AB20" s="9"/>
      <c r="AC20" s="11"/>
      <c r="AD20" s="11"/>
    </row>
    <row r="21" spans="1:30">
      <c r="A21" s="8">
        <v>3</v>
      </c>
      <c r="B21" s="8" t="s">
        <v>29</v>
      </c>
      <c r="C21" s="9">
        <v>5</v>
      </c>
      <c r="D21" s="9"/>
      <c r="E21" s="8">
        <v>3</v>
      </c>
      <c r="F21" s="10">
        <f t="shared" si="1"/>
        <v>0.6</v>
      </c>
      <c r="G21" s="8">
        <v>3</v>
      </c>
      <c r="H21" s="8" t="s">
        <v>29</v>
      </c>
      <c r="I21" s="9">
        <v>5</v>
      </c>
      <c r="J21" s="9"/>
      <c r="K21" s="11">
        <v>1</v>
      </c>
      <c r="L21" s="12">
        <f t="shared" si="2"/>
        <v>0.2</v>
      </c>
      <c r="M21" s="8">
        <v>3</v>
      </c>
      <c r="N21" s="8" t="s">
        <v>29</v>
      </c>
      <c r="O21" s="9">
        <v>2</v>
      </c>
      <c r="P21" s="9"/>
      <c r="Q21" s="11">
        <v>1</v>
      </c>
      <c r="R21" s="12">
        <f t="shared" si="3"/>
        <v>0.5</v>
      </c>
      <c r="S21" s="8">
        <v>3</v>
      </c>
      <c r="T21" s="8" t="s">
        <v>29</v>
      </c>
      <c r="U21" s="9">
        <v>2</v>
      </c>
      <c r="V21" s="9"/>
      <c r="W21" s="11">
        <v>2</v>
      </c>
      <c r="X21" s="12">
        <f t="shared" si="4"/>
        <v>1</v>
      </c>
      <c r="Y21" s="8">
        <v>3</v>
      </c>
      <c r="Z21" s="8" t="s">
        <v>29</v>
      </c>
      <c r="AA21" s="9">
        <v>3</v>
      </c>
      <c r="AB21" s="9"/>
      <c r="AC21" s="11"/>
      <c r="AD21" s="11"/>
    </row>
    <row r="22" spans="1:30">
      <c r="A22" s="8">
        <v>4</v>
      </c>
      <c r="B22" s="8" t="s">
        <v>41</v>
      </c>
      <c r="C22" s="9">
        <v>0</v>
      </c>
      <c r="D22" s="9"/>
      <c r="E22" s="8">
        <v>0</v>
      </c>
      <c r="F22" s="10">
        <v>0</v>
      </c>
      <c r="G22" s="8">
        <v>4</v>
      </c>
      <c r="H22" s="8" t="s">
        <v>41</v>
      </c>
      <c r="I22" s="9">
        <v>1</v>
      </c>
      <c r="J22" s="9"/>
      <c r="K22" s="11">
        <v>0</v>
      </c>
      <c r="L22" s="12">
        <f t="shared" si="2"/>
        <v>0</v>
      </c>
      <c r="M22" s="8">
        <v>4</v>
      </c>
      <c r="N22" s="8" t="s">
        <v>41</v>
      </c>
      <c r="O22" s="9"/>
      <c r="P22" s="9"/>
      <c r="Q22" s="11"/>
      <c r="R22" s="12"/>
      <c r="S22" s="8">
        <v>4</v>
      </c>
      <c r="T22" s="8" t="s">
        <v>41</v>
      </c>
      <c r="U22" s="9"/>
      <c r="V22" s="9"/>
      <c r="W22" s="11"/>
      <c r="X22" s="12"/>
      <c r="Y22" s="8">
        <v>4</v>
      </c>
      <c r="Z22" s="8" t="s">
        <v>41</v>
      </c>
      <c r="AA22" s="9">
        <v>2</v>
      </c>
      <c r="AB22" s="9"/>
      <c r="AC22" s="11"/>
      <c r="AD22" s="11"/>
    </row>
    <row r="23" spans="1:30">
      <c r="A23" s="8">
        <v>5</v>
      </c>
      <c r="B23" s="8" t="s">
        <v>42</v>
      </c>
      <c r="C23" s="9">
        <v>2</v>
      </c>
      <c r="D23" s="9"/>
      <c r="E23" s="8">
        <v>1</v>
      </c>
      <c r="F23" s="10">
        <f t="shared" si="1"/>
        <v>0.5</v>
      </c>
      <c r="G23" s="8">
        <v>5</v>
      </c>
      <c r="H23" s="8" t="s">
        <v>42</v>
      </c>
      <c r="I23" s="9">
        <v>2</v>
      </c>
      <c r="J23" s="9"/>
      <c r="K23" s="11">
        <v>1</v>
      </c>
      <c r="L23" s="12">
        <f t="shared" si="2"/>
        <v>0.5</v>
      </c>
      <c r="M23" s="8">
        <v>5</v>
      </c>
      <c r="N23" s="8" t="s">
        <v>42</v>
      </c>
      <c r="O23" s="9">
        <v>1</v>
      </c>
      <c r="P23" s="9"/>
      <c r="Q23" s="11">
        <v>0</v>
      </c>
      <c r="R23" s="12">
        <f t="shared" ref="R23:R26" si="5">Q23/O23</f>
        <v>0</v>
      </c>
      <c r="S23" s="8">
        <v>5</v>
      </c>
      <c r="T23" s="8" t="s">
        <v>42</v>
      </c>
      <c r="U23" s="9">
        <v>1</v>
      </c>
      <c r="V23" s="9"/>
      <c r="W23" s="11">
        <v>1</v>
      </c>
      <c r="X23" s="12">
        <f t="shared" ref="X23:X29" si="6">W23/U23</f>
        <v>1</v>
      </c>
      <c r="Y23" s="8">
        <v>5</v>
      </c>
      <c r="Z23" s="8" t="s">
        <v>42</v>
      </c>
      <c r="AA23" s="9">
        <v>3</v>
      </c>
      <c r="AB23" s="9"/>
      <c r="AC23" s="11"/>
      <c r="AD23" s="11"/>
    </row>
    <row r="24" spans="1:30">
      <c r="A24" s="8">
        <v>6</v>
      </c>
      <c r="B24" s="8" t="s">
        <v>25</v>
      </c>
      <c r="C24" s="9">
        <v>3</v>
      </c>
      <c r="D24" s="9"/>
      <c r="E24" s="8">
        <v>3</v>
      </c>
      <c r="F24" s="10">
        <f t="shared" si="1"/>
        <v>1</v>
      </c>
      <c r="G24" s="8">
        <v>6</v>
      </c>
      <c r="H24" s="8" t="s">
        <v>25</v>
      </c>
      <c r="I24" s="9">
        <v>5</v>
      </c>
      <c r="J24" s="9"/>
      <c r="K24" s="11">
        <v>5</v>
      </c>
      <c r="L24" s="12">
        <f t="shared" si="2"/>
        <v>1</v>
      </c>
      <c r="M24" s="8">
        <v>6</v>
      </c>
      <c r="N24" s="8" t="s">
        <v>25</v>
      </c>
      <c r="O24" s="9"/>
      <c r="P24" s="9"/>
      <c r="Q24" s="11"/>
      <c r="R24" s="12"/>
      <c r="S24" s="8">
        <v>6</v>
      </c>
      <c r="T24" s="8" t="s">
        <v>25</v>
      </c>
      <c r="U24" s="9"/>
      <c r="V24" s="9"/>
      <c r="W24" s="11"/>
      <c r="X24" s="12"/>
      <c r="Y24" s="8">
        <v>6</v>
      </c>
      <c r="Z24" s="8" t="s">
        <v>25</v>
      </c>
      <c r="AA24" s="9">
        <v>3</v>
      </c>
      <c r="AB24" s="9"/>
      <c r="AC24" s="11"/>
      <c r="AD24" s="11"/>
    </row>
    <row r="25" spans="1:30">
      <c r="A25" s="8">
        <v>7</v>
      </c>
      <c r="B25" s="8" t="s">
        <v>43</v>
      </c>
      <c r="C25" s="9">
        <v>5</v>
      </c>
      <c r="D25" s="9"/>
      <c r="E25" s="8">
        <v>11</v>
      </c>
      <c r="F25" s="10">
        <f t="shared" si="1"/>
        <v>2.2</v>
      </c>
      <c r="G25" s="8">
        <v>7</v>
      </c>
      <c r="H25" s="8" t="s">
        <v>43</v>
      </c>
      <c r="I25" s="9">
        <v>6</v>
      </c>
      <c r="J25" s="9"/>
      <c r="K25" s="11">
        <v>5</v>
      </c>
      <c r="L25" s="12">
        <f t="shared" si="2"/>
        <v>0.833333333333333</v>
      </c>
      <c r="M25" s="8">
        <v>7</v>
      </c>
      <c r="N25" s="8" t="s">
        <v>43</v>
      </c>
      <c r="O25" s="9">
        <v>3</v>
      </c>
      <c r="P25" s="9"/>
      <c r="Q25" s="11">
        <v>4</v>
      </c>
      <c r="R25" s="12">
        <f t="shared" si="5"/>
        <v>1.33333333333333</v>
      </c>
      <c r="S25" s="8">
        <v>7</v>
      </c>
      <c r="T25" s="8" t="s">
        <v>43</v>
      </c>
      <c r="U25" s="9">
        <v>8</v>
      </c>
      <c r="V25" s="9"/>
      <c r="W25" s="11">
        <v>6</v>
      </c>
      <c r="X25" s="12">
        <f t="shared" si="6"/>
        <v>0.75</v>
      </c>
      <c r="Y25" s="8">
        <v>7</v>
      </c>
      <c r="Z25" s="8" t="s">
        <v>43</v>
      </c>
      <c r="AA25" s="9">
        <v>3</v>
      </c>
      <c r="AB25" s="9"/>
      <c r="AC25" s="11"/>
      <c r="AD25" s="11"/>
    </row>
    <row r="26" spans="1:30">
      <c r="A26" s="8">
        <v>8</v>
      </c>
      <c r="B26" s="8" t="s">
        <v>30</v>
      </c>
      <c r="C26" s="9">
        <v>4</v>
      </c>
      <c r="D26" s="9"/>
      <c r="E26" s="8">
        <v>3</v>
      </c>
      <c r="F26" s="10">
        <f t="shared" si="1"/>
        <v>0.75</v>
      </c>
      <c r="G26" s="8">
        <v>8</v>
      </c>
      <c r="H26" s="8" t="s">
        <v>30</v>
      </c>
      <c r="I26" s="9">
        <v>2</v>
      </c>
      <c r="J26" s="9"/>
      <c r="K26" s="11">
        <v>1</v>
      </c>
      <c r="L26" s="12">
        <f t="shared" si="2"/>
        <v>0.5</v>
      </c>
      <c r="M26" s="8">
        <v>8</v>
      </c>
      <c r="N26" s="8" t="s">
        <v>30</v>
      </c>
      <c r="O26" s="9">
        <v>1</v>
      </c>
      <c r="P26" s="9"/>
      <c r="Q26" s="11">
        <v>0</v>
      </c>
      <c r="R26" s="12">
        <f t="shared" si="5"/>
        <v>0</v>
      </c>
      <c r="S26" s="8">
        <v>8</v>
      </c>
      <c r="T26" s="8" t="s">
        <v>30</v>
      </c>
      <c r="U26" s="9">
        <v>5</v>
      </c>
      <c r="V26" s="9"/>
      <c r="W26" s="11">
        <v>0</v>
      </c>
      <c r="X26" s="12">
        <f t="shared" si="6"/>
        <v>0</v>
      </c>
      <c r="Y26" s="8">
        <v>8</v>
      </c>
      <c r="Z26" s="8" t="s">
        <v>30</v>
      </c>
      <c r="AA26" s="9"/>
      <c r="AB26" s="9"/>
      <c r="AC26" s="11"/>
      <c r="AD26" s="11"/>
    </row>
    <row r="27" spans="1:30">
      <c r="A27" s="8">
        <v>9</v>
      </c>
      <c r="B27" s="8" t="s">
        <v>32</v>
      </c>
      <c r="C27" s="9">
        <v>7</v>
      </c>
      <c r="D27" s="9"/>
      <c r="E27" s="8">
        <v>0</v>
      </c>
      <c r="F27" s="10">
        <f t="shared" si="1"/>
        <v>0</v>
      </c>
      <c r="G27" s="8">
        <v>9</v>
      </c>
      <c r="H27" s="8" t="s">
        <v>32</v>
      </c>
      <c r="I27" s="9">
        <v>2</v>
      </c>
      <c r="J27" s="9"/>
      <c r="K27" s="11">
        <v>0</v>
      </c>
      <c r="L27" s="12">
        <f t="shared" si="2"/>
        <v>0</v>
      </c>
      <c r="M27" s="8">
        <v>9</v>
      </c>
      <c r="N27" s="8" t="s">
        <v>32</v>
      </c>
      <c r="O27" s="9"/>
      <c r="P27" s="9"/>
      <c r="Q27" s="11"/>
      <c r="R27" s="12"/>
      <c r="S27" s="8">
        <v>9</v>
      </c>
      <c r="T27" s="8" t="s">
        <v>32</v>
      </c>
      <c r="U27" s="9">
        <v>6</v>
      </c>
      <c r="V27" s="9"/>
      <c r="W27" s="11">
        <v>3</v>
      </c>
      <c r="X27" s="12">
        <f t="shared" si="6"/>
        <v>0.5</v>
      </c>
      <c r="Y27" s="8">
        <v>9</v>
      </c>
      <c r="Z27" s="8" t="s">
        <v>32</v>
      </c>
      <c r="AA27" s="9"/>
      <c r="AB27" s="9"/>
      <c r="AC27" s="11"/>
      <c r="AD27" s="11"/>
    </row>
    <row r="28" spans="1:30">
      <c r="A28" s="8">
        <v>10</v>
      </c>
      <c r="B28" s="8" t="s">
        <v>44</v>
      </c>
      <c r="C28" s="9">
        <v>5</v>
      </c>
      <c r="D28" s="9"/>
      <c r="E28" s="8">
        <v>6</v>
      </c>
      <c r="F28" s="10">
        <f t="shared" si="1"/>
        <v>1.2</v>
      </c>
      <c r="G28" s="8">
        <v>10</v>
      </c>
      <c r="H28" s="8" t="s">
        <v>44</v>
      </c>
      <c r="I28" s="9">
        <v>6</v>
      </c>
      <c r="J28" s="9"/>
      <c r="K28" s="11">
        <v>5</v>
      </c>
      <c r="L28" s="12">
        <f t="shared" si="2"/>
        <v>0.833333333333333</v>
      </c>
      <c r="M28" s="8">
        <v>10</v>
      </c>
      <c r="N28" s="8" t="s">
        <v>44</v>
      </c>
      <c r="O28" s="9">
        <v>3</v>
      </c>
      <c r="P28" s="9"/>
      <c r="Q28" s="11">
        <v>3</v>
      </c>
      <c r="R28" s="12">
        <f>Q28/O28</f>
        <v>1</v>
      </c>
      <c r="S28" s="8">
        <v>10</v>
      </c>
      <c r="T28" s="8" t="s">
        <v>44</v>
      </c>
      <c r="U28" s="9">
        <v>6</v>
      </c>
      <c r="V28" s="9"/>
      <c r="W28" s="11">
        <v>3</v>
      </c>
      <c r="X28" s="12">
        <f t="shared" si="6"/>
        <v>0.5</v>
      </c>
      <c r="Y28" s="8">
        <v>10</v>
      </c>
      <c r="Z28" s="8" t="s">
        <v>44</v>
      </c>
      <c r="AA28" s="9"/>
      <c r="AB28" s="9"/>
      <c r="AC28" s="11"/>
      <c r="AD28" s="11"/>
    </row>
    <row r="29" spans="1:30">
      <c r="A29" s="8">
        <v>11</v>
      </c>
      <c r="B29" s="8" t="s">
        <v>34</v>
      </c>
      <c r="C29" s="9">
        <v>10</v>
      </c>
      <c r="D29" s="9"/>
      <c r="E29" s="8">
        <v>17</v>
      </c>
      <c r="F29" s="10">
        <f t="shared" si="1"/>
        <v>1.7</v>
      </c>
      <c r="G29" s="8">
        <v>11</v>
      </c>
      <c r="H29" s="8" t="s">
        <v>34</v>
      </c>
      <c r="I29" s="9">
        <v>6</v>
      </c>
      <c r="J29" s="9"/>
      <c r="K29" s="11">
        <v>4</v>
      </c>
      <c r="L29" s="12">
        <f t="shared" si="2"/>
        <v>0.666666666666667</v>
      </c>
      <c r="M29" s="8">
        <v>11</v>
      </c>
      <c r="N29" s="8" t="s">
        <v>34</v>
      </c>
      <c r="O29" s="9">
        <v>4</v>
      </c>
      <c r="P29" s="9"/>
      <c r="Q29" s="11">
        <v>3</v>
      </c>
      <c r="R29" s="12">
        <f>Q29/O29</f>
        <v>0.75</v>
      </c>
      <c r="S29" s="8">
        <v>11</v>
      </c>
      <c r="T29" s="8" t="s">
        <v>34</v>
      </c>
      <c r="U29" s="9">
        <v>6</v>
      </c>
      <c r="V29" s="9"/>
      <c r="W29" s="11">
        <v>3</v>
      </c>
      <c r="X29" s="12">
        <f t="shared" si="6"/>
        <v>0.5</v>
      </c>
      <c r="Y29" s="8">
        <v>11</v>
      </c>
      <c r="Z29" s="8" t="s">
        <v>34</v>
      </c>
      <c r="AA29" s="9"/>
      <c r="AB29" s="9"/>
      <c r="AC29" s="11"/>
      <c r="AD29" s="11"/>
    </row>
    <row r="30" spans="23:23">
      <c r="W30">
        <f>SUM(W19:W29)</f>
        <v>25</v>
      </c>
    </row>
  </sheetData>
  <mergeCells count="10">
    <mergeCell ref="A2:D2"/>
    <mergeCell ref="G2:J2"/>
    <mergeCell ref="M2:P2"/>
    <mergeCell ref="S2:V2"/>
    <mergeCell ref="Y2:AB2"/>
    <mergeCell ref="A17:D17"/>
    <mergeCell ref="G17:J17"/>
    <mergeCell ref="M17:P17"/>
    <mergeCell ref="S17:V17"/>
    <mergeCell ref="Y17:AB17"/>
  </mergeCells>
  <conditionalFormatting sqref="X19:X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1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7" sqref="P27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BC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hoang</cp:lastModifiedBy>
  <dcterms:created xsi:type="dcterms:W3CDTF">2026-01-22T06:01:00Z</dcterms:created>
  <dcterms:modified xsi:type="dcterms:W3CDTF">2026-01-26T09:28:26Z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F6DA907F210B43DCB384FCFA8D9336E4_13</vt:lpwstr>
  </property>
  <property fmtid="{D5CDD505-2E9C-101B-9397-08002B2CF9AE}" pid="3" name="KSOProductBuildVer">
    <vt:lpwstr>1033-12.2.0.23196</vt:lpwstr>
  </property>
</Properties>
</file>